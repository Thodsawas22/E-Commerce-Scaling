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martPosture" sheetId="2" r:id="rId6"/>
  </sheets>
  <definedNames/>
  <calcPr/>
</workbook>
</file>

<file path=xl/sharedStrings.xml><?xml version="1.0" encoding="utf-8"?>
<sst xmlns="http://schemas.openxmlformats.org/spreadsheetml/2006/main" count="209" uniqueCount="85">
  <si>
    <t>การคำนวณกำไร</t>
  </si>
  <si>
    <t>Quantum Commerce</t>
  </si>
  <si>
    <t>ต้นทุนผันแปร</t>
  </si>
  <si>
    <t>ราคาขาย</t>
  </si>
  <si>
    <t>CAC = จำนวนลูกค้าใหม่ที่ได้มา ÷ ค่าใช้จ่ายทางการตลาดทั้งหมด</t>
  </si>
  <si>
    <t>ราคาต้นทุน</t>
  </si>
  <si>
    <t>→ ราคาทุนสินค้าถึงเรา (รวมค่าขนส่ง นำเข้า ภาษีแล้ว)</t>
  </si>
  <si>
    <t>กรณี Facebook</t>
  </si>
  <si>
    <t>ค่าแพ็คเกจจิ้ง</t>
  </si>
  <si>
    <t>→ ค่ากล่อง ซอง บรรจุภัณฑ์ต่อชิ้น (ไม่มีใส่ 0)</t>
  </si>
  <si>
    <t>คุณยิงโฆษณา FB ใช้งบ = 9,000 บาท</t>
  </si>
  <si>
    <t>Fullfilment Fee</t>
  </si>
  <si>
    <t>→ ถ้าเราใช้บริษัท Fullfilment ในการ แพ็คของ &amp; ส่งของให้ (ค่าแพ็ค,ค่าบริการ,ค่าธรรมเนียม และอื่นๆ)</t>
  </si>
  <si>
    <t>ได้ลูกค้าใหม่ = 100 คน</t>
  </si>
  <si>
    <t>Shipping</t>
  </si>
  <si>
    <t>→ ค่าขนส่งสินค้าสู่ลูกค้า</t>
  </si>
  <si>
    <t>👉 CAC = 9,000 ÷ 100 = 90 บาท/คน</t>
  </si>
  <si>
    <t>Affiliate</t>
  </si>
  <si>
    <t>→ ค่าคอมมิชชั่นให้ Affiliate ต่อชิ้น (ถ้าไม่มีให้ใส่ 0)</t>
  </si>
  <si>
    <t>ค่าธรรมเนียมอื่นๆ</t>
  </si>
  <si>
    <t>→ เช่น ค่าธรรมเนียมติ๊กต็อกต่อชิ้น (ถ้าไม่มีให้ใส่ 0)</t>
  </si>
  <si>
    <t>กรณี TikTok</t>
  </si>
  <si>
    <t>ต้นทุนสินค้ารวม</t>
  </si>
  <si>
    <t>คุณยิงโฆษณา TikTok ใช้งบ = 15,000 บาท</t>
  </si>
  <si>
    <t>ข้อมูลการขาย</t>
  </si>
  <si>
    <t>ได้ลูกค้าใหม่ = 200 คน</t>
  </si>
  <si>
    <t>COGS %</t>
  </si>
  <si>
    <t>→ ต้นทุนสินค้ารวม (230 บาท) คิดเป็น 35.38% ของราคาขาย</t>
  </si>
  <si>
    <t>👉 CAC = 15,000 ÷ 200 = 75 บาท/คน</t>
  </si>
  <si>
    <t>Gross Margin (฿)</t>
  </si>
  <si>
    <t>→ กำไรก่อนหักค่าโฆษณาและค่าใช้จ่ายอื่น</t>
  </si>
  <si>
    <t>Gross Margin (%)</t>
  </si>
  <si>
    <t>→ 70.77% → คิดเป็น % จากราคาขาย</t>
  </si>
  <si>
    <t>Markup</t>
  </si>
  <si>
    <t>→ คุณขายแพงกว่าทุนประมาณ 2.83 เท่า</t>
  </si>
  <si>
    <t>MARKETING DATA</t>
  </si>
  <si>
    <t>Customer Acquisition Cost</t>
  </si>
  <si>
    <t>(CAC) →  ฿90 ค่าโฆษณาเฉลี่ยเพื่อหาลูกค้า 1 คน (คุณใช้เงินไปเท่าไหร่ในการได้ลูกค้ามา 1 คน) เรียกง่ายๆว่าให้ใส่ Cost per purchase ลงไป</t>
  </si>
  <si>
    <t>MER</t>
  </si>
  <si>
    <t>(Marketing Efficiency Ratio) =  ใช้เงินโฆษณาไป 13.85% ของรายได้</t>
  </si>
  <si>
    <t>MER = CAC ÷ Revenue = ค่าโฆษณาทั้งหมด ÷ รายได้ทั้งหมด</t>
  </si>
  <si>
    <t>ROAS</t>
  </si>
  <si>
    <t>(Return on Ad Spend) 7.22 → ลงโฆษณา 1 บาท ได้ยอดขายกลับมา 7.22 บาท</t>
  </si>
  <si>
    <t>ROAS เยอะไม่ได้แปลว่ากำไรเยอะ อย่าลืมควบคุมต้นทุนกันดีๆนะครับ</t>
  </si>
  <si>
    <t>PROFIT(กำไรสุทธิ)</t>
  </si>
  <si>
    <t>เป็นเหตุผลว่าทำไมผมถึงแนะนำให้ขายแพงกว่าต้นทุน 2.5-3 เท่า</t>
  </si>
  <si>
    <t>Net Profit</t>
  </si>
  <si>
    <t>→ หลังหักต้นทุนผันแปร  + Affiliate + ค่าธรรมเนียมอื่นๆ + ค่าโฆษณา แล้ว นี่คือกำไรของคุณต่อ 1 ชิ้น</t>
  </si>
  <si>
    <t>B.E (Break even ROAS)</t>
  </si>
  <si>
    <t>COGS</t>
  </si>
  <si>
    <t>ต้นทุนสินค้ารวมทุกอย่าง (ยกเว้นค่าแอด)</t>
  </si>
  <si>
    <t>กำไรต่อชิ้น</t>
  </si>
  <si>
    <t>(ยังไม่หักค่าแอด)</t>
  </si>
  <si>
    <t>ถ้า Ads ของคุณได้ ROAS ต่ำกว่าเลขนี้ = ขาดทุน ถ้ามากกว่านี้ = กำไร ถ้ากำไรเราก็จะสเกลแคมเปญนั้นต่อไป</t>
  </si>
  <si>
    <t>สามารถแก้ไขลบและแก้ไขตัวเลขได้เองเลย (ตัวอย่าง)</t>
  </si>
  <si>
    <t>(ชื่อสินค้า)</t>
  </si>
  <si>
    <t>D1 (19/10)</t>
  </si>
  <si>
    <t>D2 (20/10)</t>
  </si>
  <si>
    <t>D3(21/10)</t>
  </si>
  <si>
    <t>D4(22/10)</t>
  </si>
  <si>
    <t>D5(23/10)</t>
  </si>
  <si>
    <t>D6(24/10)</t>
  </si>
  <si>
    <t>D7(25/10)</t>
  </si>
  <si>
    <t>D8(26/10)</t>
  </si>
  <si>
    <t>D9(27/10)</t>
  </si>
  <si>
    <t>D10(28/10)</t>
  </si>
  <si>
    <t>D11(29/10)</t>
  </si>
  <si>
    <t>D12(30/10)</t>
  </si>
  <si>
    <t>Revenue</t>
  </si>
  <si>
    <t>Ad spend</t>
  </si>
  <si>
    <t>Profit</t>
  </si>
  <si>
    <t>Fullfilment</t>
  </si>
  <si>
    <t>Sold</t>
  </si>
  <si>
    <t>TTP</t>
  </si>
  <si>
    <t>PPD</t>
  </si>
  <si>
    <t>PPU</t>
  </si>
  <si>
    <t>Sales</t>
  </si>
  <si>
    <t>Return</t>
  </si>
  <si>
    <t>Return (Unit)</t>
  </si>
  <si>
    <t>BTLP</t>
  </si>
  <si>
    <t>CAC (CPA)</t>
  </si>
  <si>
    <t xml:space="preserve">B.E </t>
  </si>
  <si>
    <t>D1 (23/05)</t>
  </si>
  <si>
    <t>D2 (24/05)</t>
  </si>
  <si>
    <t>D3 (25/05)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</si>
</sst>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฿]#,##0.00"/>
    <numFmt numFmtId="165" formatCode="[$$]#,##0.00"/>
  </numFmts>
  <fonts count="15">
    <font>
      <sz val="10.0"/>
      <color rgb="FF000000"/>
      <name val="Arial"/>
      <scheme val="minor"/>
    </font>
    <font>
      <b/>
      <sz val="15.0"/>
      <color rgb="FFFFFFFF"/>
      <name val="Inter"/>
    </font>
    <font>
      <color theme="1"/>
      <name val="Inter"/>
    </font>
    <font>
      <b/>
      <sz val="22.0"/>
      <color rgb="FFF3F3F3"/>
      <name val="Cardo"/>
    </font>
    <font>
      <b/>
      <sz val="11.0"/>
      <color theme="1"/>
      <name val="Inter"/>
    </font>
    <font>
      <sz val="11.0"/>
      <color theme="1"/>
      <name val="Inter"/>
    </font>
    <font>
      <color theme="1"/>
      <name val="Arial"/>
    </font>
    <font>
      <color rgb="FF073763"/>
      <name val="Inter"/>
    </font>
    <font>
      <sz val="11.0"/>
      <color rgb="FFFFFFFF"/>
      <name val="Inter"/>
    </font>
    <font>
      <b/>
      <sz val="15.0"/>
      <color theme="1"/>
      <name val="Inter"/>
    </font>
    <font>
      <b/>
      <sz val="11.0"/>
      <color rgb="FF6AA84F"/>
      <name val="Inter"/>
    </font>
    <font>
      <color rgb="FFF3F3F3"/>
      <name val="Inter"/>
    </font>
    <font>
      <b/>
      <color theme="1"/>
      <name val="Inter"/>
    </font>
    <font>
      <color rgb="FFFFFFFF"/>
      <name val="Inter"/>
    </font>
    <font>
      <color rgb="FF4A86E8"/>
      <name val="Inter"/>
    </font>
  </fonts>
  <fills count="19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0B5394"/>
        <bgColor rgb="FF0B5394"/>
      </patternFill>
    </fill>
    <fill>
      <patternFill patternType="solid">
        <fgColor rgb="FFEBEFF1"/>
        <bgColor rgb="FFEBEFF1"/>
      </patternFill>
    </fill>
    <fill>
      <patternFill patternType="solid">
        <fgColor rgb="FF76A5AF"/>
        <bgColor rgb="FF76A5AF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Font="1"/>
    <xf borderId="0" fillId="2" fontId="3" numFmtId="0" xfId="0" applyAlignment="1" applyFont="1">
      <alignment horizontal="left" readingOrder="0"/>
    </xf>
    <xf borderId="0" fillId="2" fontId="2" numFmtId="0" xfId="0" applyFont="1"/>
    <xf borderId="0" fillId="3" fontId="4" numFmtId="0" xfId="0" applyAlignment="1" applyFill="1" applyFont="1">
      <alignment horizontal="center" readingOrder="0" vertical="bottom"/>
    </xf>
    <xf borderId="0" fillId="4" fontId="4" numFmtId="0" xfId="0" applyAlignment="1" applyFill="1" applyFont="1">
      <alignment horizontal="center" readingOrder="0" vertical="bottom"/>
    </xf>
    <xf borderId="0" fillId="4" fontId="5" numFmtId="164" xfId="0" applyAlignment="1" applyFont="1" applyNumberFormat="1">
      <alignment horizontal="center" readingOrder="0" vertical="bottom"/>
    </xf>
    <xf borderId="0" fillId="0" fontId="2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7" numFmtId="0" xfId="0" applyAlignment="1" applyFont="1">
      <alignment vertical="bottom"/>
    </xf>
    <xf borderId="0" fillId="4" fontId="4" numFmtId="0" xfId="0" applyAlignment="1" applyFont="1">
      <alignment horizontal="center" vertical="bottom"/>
    </xf>
    <xf borderId="0" fillId="3" fontId="5" numFmtId="0" xfId="0" applyAlignment="1" applyFont="1">
      <alignment horizontal="center" readingOrder="0" vertical="bottom"/>
    </xf>
    <xf borderId="0" fillId="3" fontId="5" numFmtId="164" xfId="0" applyAlignment="1" applyFont="1" applyNumberFormat="1">
      <alignment horizontal="center" readingOrder="0" vertical="bottom"/>
    </xf>
    <xf borderId="0" fillId="0" fontId="6" numFmtId="0" xfId="0" applyAlignment="1" applyFont="1">
      <alignment vertical="bottom"/>
    </xf>
    <xf borderId="0" fillId="5" fontId="8" numFmtId="0" xfId="0" applyAlignment="1" applyFill="1" applyFont="1">
      <alignment horizontal="center" readingOrder="0" vertical="bottom"/>
    </xf>
    <xf borderId="0" fillId="5" fontId="8" numFmtId="164" xfId="0" applyAlignment="1" applyFont="1" applyNumberFormat="1">
      <alignment horizontal="center" readingOrder="0" vertical="bottom"/>
    </xf>
    <xf borderId="0" fillId="6" fontId="9" numFmtId="0" xfId="0" applyAlignment="1" applyFill="1" applyFont="1">
      <alignment horizontal="center" readingOrder="0" vertical="bottom"/>
    </xf>
    <xf borderId="0" fillId="3" fontId="5" numFmtId="0" xfId="0" applyAlignment="1" applyFont="1">
      <alignment horizontal="center" vertical="bottom"/>
    </xf>
    <xf borderId="0" fillId="3" fontId="5" numFmtId="10" xfId="0" applyAlignment="1" applyFont="1" applyNumberFormat="1">
      <alignment horizontal="center" vertical="bottom"/>
    </xf>
    <xf borderId="0" fillId="3" fontId="5" numFmtId="164" xfId="0" applyAlignment="1" applyFont="1" applyNumberFormat="1">
      <alignment horizontal="center" vertical="bottom"/>
    </xf>
    <xf borderId="0" fillId="6" fontId="5" numFmtId="0" xfId="0" applyAlignment="1" applyFont="1">
      <alignment horizontal="center" vertical="bottom"/>
    </xf>
    <xf borderId="0" fillId="6" fontId="5" numFmtId="10" xfId="0" applyAlignment="1" applyFont="1" applyNumberFormat="1">
      <alignment horizontal="center" vertical="bottom"/>
    </xf>
    <xf borderId="0" fillId="3" fontId="5" numFmtId="0" xfId="0" applyAlignment="1" applyFont="1">
      <alignment horizontal="center" vertical="bottom"/>
    </xf>
    <xf borderId="0" fillId="4" fontId="4" numFmtId="165" xfId="0" applyAlignment="1" applyFont="1" applyNumberFormat="1">
      <alignment horizontal="center" vertical="bottom"/>
    </xf>
    <xf borderId="0" fillId="0" fontId="2" numFmtId="0" xfId="0" applyAlignment="1" applyFont="1">
      <alignment horizontal="center" readingOrder="0"/>
    </xf>
    <xf borderId="0" fillId="0" fontId="2" numFmtId="10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10" numFmtId="0" xfId="0" applyAlignment="1" applyFont="1">
      <alignment horizontal="center" readingOrder="0"/>
    </xf>
    <xf borderId="0" fillId="0" fontId="10" numFmtId="164" xfId="0" applyAlignment="1" applyFont="1" applyNumberFormat="1">
      <alignment horizontal="center"/>
    </xf>
    <xf borderId="0" fillId="0" fontId="3" numFmtId="0" xfId="0" applyAlignment="1" applyFont="1">
      <alignment horizontal="left" readingOrder="0"/>
    </xf>
    <xf borderId="0" fillId="0" fontId="11" numFmtId="0" xfId="0" applyFont="1"/>
    <xf borderId="0" fillId="0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2" numFmtId="4" xfId="0" applyAlignment="1" applyFont="1" applyNumberFormat="1">
      <alignment horizontal="center"/>
    </xf>
    <xf borderId="0" fillId="7" fontId="2" numFmtId="4" xfId="0" applyAlignment="1" applyFill="1" applyFont="1" applyNumberFormat="1">
      <alignment horizontal="center"/>
    </xf>
    <xf borderId="0" fillId="8" fontId="12" numFmtId="0" xfId="0" applyAlignment="1" applyFill="1" applyFont="1">
      <alignment horizontal="center" readingOrder="0"/>
    </xf>
    <xf borderId="0" fillId="2" fontId="1" numFmtId="0" xfId="0" applyAlignment="1" applyFont="1">
      <alignment horizontal="center" vertical="bottom"/>
    </xf>
    <xf borderId="0" fillId="2" fontId="3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9" fontId="2" numFmtId="0" xfId="0" applyAlignment="1" applyFill="1" applyFont="1">
      <alignment horizontal="center" vertical="bottom"/>
    </xf>
    <xf borderId="0" fillId="10" fontId="2" numFmtId="0" xfId="0" applyAlignment="1" applyFill="1" applyFont="1">
      <alignment horizontal="center" vertical="bottom"/>
    </xf>
    <xf borderId="0" fillId="11" fontId="2" numFmtId="0" xfId="0" applyAlignment="1" applyFill="1" applyFont="1">
      <alignment horizontal="center" vertical="bottom"/>
    </xf>
    <xf borderId="0" fillId="12" fontId="2" numFmtId="0" xfId="0" applyAlignment="1" applyFill="1" applyFont="1">
      <alignment horizontal="center" vertical="bottom"/>
    </xf>
    <xf borderId="0" fillId="3" fontId="4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4" fontId="5" numFmtId="164" xfId="0" applyAlignment="1" applyFont="1" applyNumberFormat="1">
      <alignment horizontal="center" vertical="bottom"/>
    </xf>
    <xf borderId="0" fillId="13" fontId="2" numFmtId="164" xfId="0" applyAlignment="1" applyFill="1" applyFont="1" applyNumberFormat="1">
      <alignment horizontal="center" vertical="bottom"/>
    </xf>
    <xf borderId="0" fillId="14" fontId="13" numFmtId="0" xfId="0" applyAlignment="1" applyFill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15" fontId="13" numFmtId="4" xfId="0" applyAlignment="1" applyFill="1" applyFont="1" applyNumberFormat="1">
      <alignment horizontal="center" vertical="bottom"/>
    </xf>
    <xf borderId="0" fillId="0" fontId="2" numFmtId="4" xfId="0" applyAlignment="1" applyFont="1" applyNumberFormat="1">
      <alignment horizontal="center" vertical="bottom"/>
    </xf>
    <xf borderId="0" fillId="16" fontId="2" numFmtId="164" xfId="0" applyAlignment="1" applyFill="1" applyFont="1" applyNumberFormat="1">
      <alignment horizontal="center" vertical="bottom"/>
    </xf>
    <xf borderId="0" fillId="5" fontId="8" numFmtId="0" xfId="0" applyAlignment="1" applyFont="1">
      <alignment horizontal="center" vertical="bottom"/>
    </xf>
    <xf borderId="0" fillId="5" fontId="8" numFmtId="164" xfId="0" applyAlignment="1" applyFont="1" applyNumberFormat="1">
      <alignment horizontal="center" vertical="bottom"/>
    </xf>
    <xf borderId="0" fillId="4" fontId="6" numFmtId="164" xfId="0" applyAlignment="1" applyFont="1" applyNumberFormat="1">
      <alignment horizontal="center" vertical="bottom"/>
    </xf>
    <xf borderId="0" fillId="6" fontId="9" numFmtId="0" xfId="0" applyAlignment="1" applyFont="1">
      <alignment horizontal="center" vertical="bottom"/>
    </xf>
    <xf borderId="0" fillId="17" fontId="2" numFmtId="164" xfId="0" applyAlignment="1" applyFill="1" applyFont="1" applyNumberFormat="1">
      <alignment horizontal="center" vertical="bottom"/>
    </xf>
    <xf borderId="0" fillId="8" fontId="2" numFmtId="164" xfId="0" applyAlignment="1" applyFont="1" applyNumberFormat="1">
      <alignment horizontal="center" vertical="bottom"/>
    </xf>
    <xf borderId="0" fillId="8" fontId="2" numFmtId="0" xfId="0" applyAlignment="1" applyFont="1">
      <alignment horizontal="center" vertical="bottom"/>
    </xf>
    <xf borderId="0" fillId="18" fontId="2" numFmtId="164" xfId="0" applyAlignment="1" applyFill="1" applyFont="1" applyNumberFormat="1">
      <alignment horizontal="center" vertical="bottom"/>
    </xf>
    <xf borderId="0" fillId="4" fontId="4" numFmtId="165" xfId="0" applyAlignment="1" applyFont="1" applyNumberFormat="1">
      <alignment horizontal="center" readingOrder="0" vertical="bottom"/>
    </xf>
    <xf borderId="0" fillId="0" fontId="2" numFmtId="10" xfId="0" applyAlignment="1" applyFont="1" applyNumberFormat="1">
      <alignment horizontal="center" vertical="bottom"/>
    </xf>
    <xf borderId="0" fillId="0" fontId="10" numFmtId="0" xfId="0" applyAlignment="1" applyFont="1">
      <alignment horizontal="center" vertical="bottom"/>
    </xf>
    <xf borderId="0" fillId="0" fontId="10" numFmtId="164" xfId="0" applyAlignment="1" applyFont="1" applyNumberFormat="1">
      <alignment horizontal="center" vertical="bottom"/>
    </xf>
    <xf borderId="0" fillId="0" fontId="6" numFmtId="164" xfId="0" applyAlignment="1" applyFont="1" applyNumberFormat="1">
      <alignment vertical="bottom"/>
    </xf>
    <xf borderId="0" fillId="7" fontId="2" numFmtId="4" xfId="0" applyAlignment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center" readingOrder="0" vertical="bottom"/>
    </xf>
    <xf borderId="0" fillId="0" fontId="14" numFmtId="0" xfId="0" applyAlignment="1" applyFont="1">
      <alignment horizontal="center" readingOrder="0" vertical="bottom"/>
    </xf>
    <xf borderId="0" fillId="8" fontId="2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</cols>
  <sheetData>
    <row r="1">
      <c r="A1" s="1" t="s">
        <v>0</v>
      </c>
      <c r="C1" s="2"/>
      <c r="D1" s="2"/>
      <c r="E1" s="2"/>
      <c r="F1" s="2"/>
      <c r="G1" s="2"/>
      <c r="H1" s="2"/>
      <c r="I1" s="2"/>
      <c r="J1" s="2"/>
      <c r="K1" s="3" t="s">
        <v>1</v>
      </c>
      <c r="L1" s="4"/>
      <c r="M1" s="4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5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6" t="s">
        <v>3</v>
      </c>
      <c r="B3" s="7">
        <v>650.0</v>
      </c>
      <c r="C3" s="2"/>
      <c r="D3" s="2"/>
      <c r="E3" s="2"/>
      <c r="F3" s="2"/>
      <c r="G3" s="2"/>
      <c r="H3" s="2"/>
      <c r="I3" s="2"/>
      <c r="J3" s="8" t="s">
        <v>4</v>
      </c>
      <c r="K3" s="8"/>
      <c r="L3" s="9"/>
      <c r="M3" s="9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6" t="s">
        <v>5</v>
      </c>
      <c r="B4" s="7">
        <v>120.0</v>
      </c>
      <c r="C4" s="10" t="s">
        <v>6</v>
      </c>
      <c r="D4" s="2"/>
      <c r="E4" s="2"/>
      <c r="F4" s="2"/>
      <c r="G4" s="2"/>
      <c r="H4" s="2"/>
      <c r="I4" s="2"/>
      <c r="J4" s="11" t="s">
        <v>7</v>
      </c>
      <c r="K4" s="11"/>
      <c r="L4" s="9"/>
      <c r="M4" s="9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6" t="s">
        <v>8</v>
      </c>
      <c r="B5" s="7">
        <v>10.0</v>
      </c>
      <c r="C5" s="10" t="s">
        <v>9</v>
      </c>
      <c r="D5" s="2"/>
      <c r="E5" s="2"/>
      <c r="F5" s="2"/>
      <c r="G5" s="2"/>
      <c r="H5" s="2"/>
      <c r="I5" s="2"/>
      <c r="J5" s="9" t="s">
        <v>10</v>
      </c>
      <c r="K5" s="9"/>
      <c r="L5" s="9"/>
      <c r="M5" s="9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6" t="s">
        <v>11</v>
      </c>
      <c r="B6" s="7">
        <v>20.0</v>
      </c>
      <c r="C6" s="10" t="s">
        <v>12</v>
      </c>
      <c r="D6" s="2"/>
      <c r="E6" s="2"/>
      <c r="F6" s="2"/>
      <c r="G6" s="2"/>
      <c r="H6" s="2"/>
      <c r="I6" s="2"/>
      <c r="J6" s="9" t="s">
        <v>13</v>
      </c>
      <c r="K6" s="9"/>
      <c r="L6" s="9"/>
      <c r="M6" s="9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12" t="s">
        <v>14</v>
      </c>
      <c r="B7" s="7">
        <v>40.0</v>
      </c>
      <c r="C7" s="10" t="s">
        <v>15</v>
      </c>
      <c r="D7" s="2"/>
      <c r="E7" s="2"/>
      <c r="F7" s="2"/>
      <c r="G7" s="2"/>
      <c r="H7" s="2"/>
      <c r="I7" s="2"/>
      <c r="J7" s="9" t="s">
        <v>16</v>
      </c>
      <c r="K7" s="9"/>
      <c r="L7" s="9"/>
      <c r="M7" s="9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13" t="s">
        <v>17</v>
      </c>
      <c r="B8" s="14">
        <v>20.0</v>
      </c>
      <c r="C8" s="10" t="s">
        <v>18</v>
      </c>
      <c r="D8" s="2"/>
      <c r="E8" s="2"/>
      <c r="F8" s="2"/>
      <c r="G8" s="2"/>
      <c r="H8" s="2"/>
      <c r="I8" s="2"/>
      <c r="J8" s="9"/>
      <c r="K8" s="9"/>
      <c r="L8" s="9"/>
      <c r="M8" s="9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13" t="s">
        <v>19</v>
      </c>
      <c r="B9" s="14">
        <v>20.0</v>
      </c>
      <c r="C9" s="10" t="s">
        <v>20</v>
      </c>
      <c r="D9" s="2"/>
      <c r="E9" s="2"/>
      <c r="F9" s="2"/>
      <c r="G9" s="2"/>
      <c r="H9" s="2"/>
      <c r="I9" s="2"/>
      <c r="J9" s="9" t="s">
        <v>21</v>
      </c>
      <c r="K9" s="15"/>
      <c r="L9" s="9"/>
      <c r="M9" s="9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16" t="s">
        <v>22</v>
      </c>
      <c r="B10" s="17">
        <f>SUM(B4:B9)</f>
        <v>230</v>
      </c>
      <c r="C10" s="2"/>
      <c r="D10" s="2"/>
      <c r="E10" s="2"/>
      <c r="F10" s="2"/>
      <c r="G10" s="2"/>
      <c r="H10" s="2"/>
      <c r="I10" s="2"/>
      <c r="J10" s="9" t="s">
        <v>23</v>
      </c>
      <c r="K10" s="9"/>
      <c r="L10" s="9"/>
      <c r="M10" s="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18" t="s">
        <v>24</v>
      </c>
      <c r="C11" s="2"/>
      <c r="D11" s="2"/>
      <c r="E11" s="2"/>
      <c r="F11" s="2"/>
      <c r="G11" s="2"/>
      <c r="H11" s="2"/>
      <c r="I11" s="2"/>
      <c r="J11" s="9" t="s">
        <v>25</v>
      </c>
      <c r="K11" s="9"/>
      <c r="L11" s="9"/>
      <c r="M11" s="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19" t="s">
        <v>26</v>
      </c>
      <c r="B12" s="20">
        <f>(B4+B5+B6+B7+B8+B9)/B3</f>
        <v>0.3538461538</v>
      </c>
      <c r="C12" s="10" t="s">
        <v>27</v>
      </c>
      <c r="D12" s="2"/>
      <c r="E12" s="2"/>
      <c r="F12" s="2"/>
      <c r="G12" s="2"/>
      <c r="H12" s="2"/>
      <c r="I12" s="2"/>
      <c r="J12" s="9" t="s">
        <v>28</v>
      </c>
      <c r="K12" s="9"/>
      <c r="L12" s="9"/>
      <c r="M12" s="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13" t="s">
        <v>29</v>
      </c>
      <c r="B13" s="21">
        <f>B3-B4-B5-B6-B7-B8-B9</f>
        <v>420</v>
      </c>
      <c r="C13" s="10" t="s">
        <v>30</v>
      </c>
      <c r="D13" s="2"/>
      <c r="E13" s="2"/>
      <c r="F13" s="2"/>
      <c r="G13" s="2"/>
      <c r="H13" s="2"/>
      <c r="I13" s="2"/>
      <c r="J13" s="9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22" t="s">
        <v>31</v>
      </c>
      <c r="B14" s="23">
        <f>(B3-(B4+B5+B6+B7+B8+B9))/B3</f>
        <v>0.6461538462</v>
      </c>
      <c r="C14" s="10" t="s">
        <v>32</v>
      </c>
      <c r="D14" s="2"/>
      <c r="E14" s="2"/>
      <c r="F14" s="2"/>
      <c r="G14" s="2"/>
      <c r="H14" s="2"/>
      <c r="I14" s="2"/>
      <c r="J14" s="9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19" t="s">
        <v>33</v>
      </c>
      <c r="B15" s="24">
        <f>B3/B10</f>
        <v>2.826086957</v>
      </c>
      <c r="C15" s="10" t="s">
        <v>34</v>
      </c>
      <c r="D15" s="2"/>
      <c r="E15" s="2"/>
      <c r="F15" s="2"/>
      <c r="G15" s="2"/>
      <c r="H15" s="2"/>
      <c r="I15" s="2"/>
      <c r="J15" s="9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18" t="s">
        <v>35</v>
      </c>
      <c r="C16" s="2"/>
      <c r="D16" s="2"/>
      <c r="E16" s="2"/>
      <c r="F16" s="2"/>
      <c r="G16" s="2"/>
      <c r="H16" s="2"/>
      <c r="I16" s="2"/>
      <c r="J16" s="9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25" t="s">
        <v>36</v>
      </c>
      <c r="B17" s="7">
        <v>90.0</v>
      </c>
      <c r="C17" s="10" t="s">
        <v>37</v>
      </c>
      <c r="D17" s="2"/>
      <c r="E17" s="2"/>
      <c r="F17" s="2"/>
      <c r="G17" s="2"/>
      <c r="H17" s="2"/>
      <c r="I17" s="2"/>
      <c r="J17" s="9"/>
      <c r="K17" s="1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26" t="s">
        <v>38</v>
      </c>
      <c r="B18" s="27">
        <f>B17/B3</f>
        <v>0.1384615385</v>
      </c>
      <c r="C18" s="10" t="s">
        <v>39</v>
      </c>
      <c r="D18" s="2"/>
      <c r="E18" s="2"/>
      <c r="F18" s="2"/>
      <c r="G18" s="2"/>
      <c r="H18" s="2"/>
      <c r="I18" s="2"/>
      <c r="J18" s="8" t="s">
        <v>40</v>
      </c>
      <c r="K18" s="1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26" t="s">
        <v>41</v>
      </c>
      <c r="B19" s="28">
        <f>B3/B17</f>
        <v>7.222222222</v>
      </c>
      <c r="C19" s="10" t="s">
        <v>42</v>
      </c>
      <c r="D19" s="2"/>
      <c r="E19" s="2"/>
      <c r="F19" s="2"/>
      <c r="G19" s="2"/>
      <c r="H19" s="2"/>
      <c r="I19" s="2"/>
      <c r="J19" s="9" t="s">
        <v>43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1" t="s">
        <v>44</v>
      </c>
      <c r="C20" s="2"/>
      <c r="D20" s="2"/>
      <c r="E20" s="2"/>
      <c r="F20" s="2"/>
      <c r="G20" s="2"/>
      <c r="H20" s="2"/>
      <c r="I20" s="2"/>
      <c r="J20" s="9" t="s">
        <v>45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29" t="s">
        <v>46</v>
      </c>
      <c r="B21" s="30">
        <f>B13-B17</f>
        <v>330</v>
      </c>
      <c r="C21" s="10" t="s">
        <v>47</v>
      </c>
      <c r="D21" s="2"/>
      <c r="E21" s="2"/>
      <c r="F21" s="2"/>
      <c r="G21" s="2"/>
      <c r="H21" s="2"/>
      <c r="I21" s="2"/>
      <c r="J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31"/>
      <c r="B24" s="32"/>
      <c r="C24" s="2"/>
      <c r="D24" s="2"/>
      <c r="E24" s="2"/>
      <c r="F24" s="2"/>
      <c r="G24" s="2"/>
      <c r="H24" s="2"/>
      <c r="I24" s="2"/>
      <c r="J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1" t="s">
        <v>48</v>
      </c>
      <c r="C25" s="2"/>
      <c r="D25" s="2"/>
      <c r="E25" s="2"/>
      <c r="F25" s="2"/>
      <c r="G25" s="2"/>
      <c r="H25" s="2"/>
      <c r="I25" s="2"/>
      <c r="J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26" t="s">
        <v>49</v>
      </c>
      <c r="B26" s="33">
        <f>B10</f>
        <v>230</v>
      </c>
      <c r="C26" s="10" t="s">
        <v>50</v>
      </c>
      <c r="D26" s="2"/>
      <c r="E26" s="2"/>
      <c r="F26" s="2"/>
      <c r="G26" s="2"/>
      <c r="H26" s="2"/>
      <c r="I26" s="2"/>
      <c r="J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26" t="s">
        <v>3</v>
      </c>
      <c r="B27" s="34">
        <f>B3</f>
        <v>650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26" t="s">
        <v>51</v>
      </c>
      <c r="B28" s="35">
        <f>B27-B26</f>
        <v>420</v>
      </c>
      <c r="C28" s="10" t="s">
        <v>52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26" t="s">
        <v>48</v>
      </c>
      <c r="B29" s="36">
        <f>1/(B28/B27)</f>
        <v>1.547619048</v>
      </c>
      <c r="C29" s="10" t="s">
        <v>53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37" t="s">
        <v>54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38" t="s">
        <v>0</v>
      </c>
      <c r="C34" s="39" t="s">
        <v>55</v>
      </c>
      <c r="F34" s="40" t="s">
        <v>56</v>
      </c>
      <c r="G34" s="41" t="s">
        <v>57</v>
      </c>
      <c r="H34" s="40" t="s">
        <v>58</v>
      </c>
      <c r="I34" s="42" t="s">
        <v>59</v>
      </c>
      <c r="J34" s="43" t="s">
        <v>60</v>
      </c>
      <c r="K34" s="40" t="s">
        <v>61</v>
      </c>
      <c r="L34" s="40" t="s">
        <v>62</v>
      </c>
      <c r="M34" s="41" t="s">
        <v>63</v>
      </c>
      <c r="N34" s="42" t="s">
        <v>64</v>
      </c>
      <c r="O34" s="40" t="s">
        <v>65</v>
      </c>
      <c r="P34" s="40" t="s">
        <v>66</v>
      </c>
      <c r="Q34" s="44" t="s">
        <v>67</v>
      </c>
      <c r="R34" s="2"/>
      <c r="S34" s="2"/>
      <c r="T34" s="2"/>
      <c r="U34" s="2"/>
      <c r="V34" s="2"/>
      <c r="W34" s="2"/>
      <c r="X34" s="2"/>
    </row>
    <row r="35">
      <c r="A35" s="45" t="s">
        <v>2</v>
      </c>
      <c r="C35" s="9"/>
      <c r="D35" s="9"/>
      <c r="E35" s="41" t="s">
        <v>68</v>
      </c>
      <c r="F35" s="46">
        <v>2760.0</v>
      </c>
      <c r="G35" s="46">
        <v>8280.0</v>
      </c>
      <c r="H35" s="46">
        <v>3450.0</v>
      </c>
      <c r="I35" s="46">
        <v>7973.0</v>
      </c>
      <c r="J35" s="46">
        <f>11040+6900</f>
        <v>17940</v>
      </c>
      <c r="K35" s="46">
        <f>11040+7590-690</f>
        <v>17940</v>
      </c>
      <c r="L35" s="46">
        <f>14490+690</f>
        <v>15180</v>
      </c>
      <c r="M35" s="46">
        <f>690*22+690+690+680</f>
        <v>17240</v>
      </c>
      <c r="N35" s="46">
        <f>690*15</f>
        <v>10350</v>
      </c>
      <c r="O35" s="46">
        <f>690*13</f>
        <v>8970</v>
      </c>
      <c r="P35" s="46">
        <v>10350.0</v>
      </c>
      <c r="Q35" s="46">
        <f>690*5</f>
        <v>3450</v>
      </c>
      <c r="R35" s="2"/>
      <c r="S35" s="2"/>
      <c r="T35" s="2"/>
      <c r="U35" s="2"/>
      <c r="V35" s="2"/>
      <c r="W35" s="2"/>
      <c r="X35" s="2"/>
    </row>
    <row r="36">
      <c r="A36" s="12" t="s">
        <v>3</v>
      </c>
      <c r="B36" s="47">
        <v>690.0</v>
      </c>
      <c r="C36" s="9"/>
      <c r="D36" s="9"/>
      <c r="E36" s="44" t="s">
        <v>69</v>
      </c>
      <c r="F36" s="46">
        <v>974.0</v>
      </c>
      <c r="G36" s="46">
        <v>1622.0</v>
      </c>
      <c r="H36" s="46">
        <v>1610.0</v>
      </c>
      <c r="I36" s="46">
        <v>4307.0</v>
      </c>
      <c r="J36" s="46">
        <f>1147+3120</f>
        <v>4267</v>
      </c>
      <c r="K36" s="46">
        <f>3700+2981</f>
        <v>6681</v>
      </c>
      <c r="L36" s="46">
        <v>5300.0</v>
      </c>
      <c r="M36" s="46">
        <v>5289.0</v>
      </c>
      <c r="N36" s="46">
        <v>5455.0</v>
      </c>
      <c r="O36" s="46">
        <v>4500.0</v>
      </c>
      <c r="P36" s="46">
        <v>3413.0</v>
      </c>
      <c r="Q36" s="46">
        <v>2441.0</v>
      </c>
      <c r="R36" s="2"/>
      <c r="S36" s="2"/>
      <c r="T36" s="2"/>
      <c r="U36" s="2"/>
      <c r="V36" s="2"/>
      <c r="W36" s="2"/>
      <c r="X36" s="2"/>
    </row>
    <row r="37">
      <c r="A37" s="12" t="s">
        <v>5</v>
      </c>
      <c r="B37" s="47">
        <f>20471/200</f>
        <v>102.355</v>
      </c>
      <c r="C37" s="9"/>
      <c r="D37" s="9"/>
      <c r="E37" s="44" t="s">
        <v>49</v>
      </c>
      <c r="F37" s="46">
        <f>172*4</f>
        <v>688</v>
      </c>
      <c r="G37" s="46">
        <f>172*12</f>
        <v>2064</v>
      </c>
      <c r="H37" s="46">
        <f>174*5</f>
        <v>870</v>
      </c>
      <c r="I37" s="46">
        <f>174*12</f>
        <v>2088</v>
      </c>
      <c r="J37" s="46">
        <f>2784+1574</f>
        <v>4358</v>
      </c>
      <c r="K37" s="46">
        <f>173*27</f>
        <v>4671</v>
      </c>
      <c r="L37" s="46">
        <f>173*22</f>
        <v>3806</v>
      </c>
      <c r="M37" s="46">
        <f>173*24</f>
        <v>4152</v>
      </c>
      <c r="N37" s="46">
        <f>173*15</f>
        <v>2595</v>
      </c>
      <c r="O37" s="46">
        <f>173*13</f>
        <v>2249</v>
      </c>
      <c r="P37" s="46">
        <f>173*15</f>
        <v>2595</v>
      </c>
      <c r="Q37" s="46">
        <f>B43*5</f>
        <v>861.775</v>
      </c>
      <c r="R37" s="2"/>
      <c r="S37" s="2"/>
      <c r="T37" s="2"/>
      <c r="U37" s="2"/>
      <c r="V37" s="2"/>
      <c r="W37" s="2"/>
      <c r="X37" s="2"/>
    </row>
    <row r="38">
      <c r="A38" s="12" t="s">
        <v>8</v>
      </c>
      <c r="B38" s="47">
        <v>0.0</v>
      </c>
      <c r="C38" s="9"/>
      <c r="D38" s="9"/>
      <c r="E38" s="43" t="s">
        <v>70</v>
      </c>
      <c r="F38" s="48">
        <f t="shared" ref="F38:Q38" si="1">F35-F36-F37</f>
        <v>1098</v>
      </c>
      <c r="G38" s="48">
        <f t="shared" si="1"/>
        <v>4594</v>
      </c>
      <c r="H38" s="48">
        <f t="shared" si="1"/>
        <v>970</v>
      </c>
      <c r="I38" s="48">
        <f t="shared" si="1"/>
        <v>1578</v>
      </c>
      <c r="J38" s="48">
        <f t="shared" si="1"/>
        <v>9315</v>
      </c>
      <c r="K38" s="48">
        <f t="shared" si="1"/>
        <v>6588</v>
      </c>
      <c r="L38" s="48">
        <f t="shared" si="1"/>
        <v>6074</v>
      </c>
      <c r="M38" s="48">
        <f t="shared" si="1"/>
        <v>7799</v>
      </c>
      <c r="N38" s="48">
        <f t="shared" si="1"/>
        <v>2300</v>
      </c>
      <c r="O38" s="48">
        <f t="shared" si="1"/>
        <v>2221</v>
      </c>
      <c r="P38" s="48">
        <f t="shared" si="1"/>
        <v>4342</v>
      </c>
      <c r="Q38" s="48">
        <f t="shared" si="1"/>
        <v>147.225</v>
      </c>
      <c r="R38" s="2"/>
      <c r="S38" s="2"/>
      <c r="T38" s="2"/>
      <c r="U38" s="2"/>
      <c r="V38" s="2"/>
      <c r="W38" s="2"/>
      <c r="X38" s="2"/>
    </row>
    <row r="39">
      <c r="A39" s="12" t="s">
        <v>71</v>
      </c>
      <c r="B39" s="47">
        <v>20.0</v>
      </c>
      <c r="C39" s="9"/>
      <c r="D39" s="8" t="s">
        <v>72</v>
      </c>
      <c r="E39" s="49">
        <f>SUM(F39:S39)</f>
        <v>179</v>
      </c>
      <c r="F39" s="50">
        <v>4.0</v>
      </c>
      <c r="G39" s="50">
        <v>12.0</v>
      </c>
      <c r="H39" s="50">
        <v>5.0</v>
      </c>
      <c r="I39" s="50">
        <v>12.0</v>
      </c>
      <c r="J39" s="50">
        <v>26.0</v>
      </c>
      <c r="K39" s="50">
        <v>27.0</v>
      </c>
      <c r="L39" s="50">
        <v>21.0</v>
      </c>
      <c r="M39" s="50">
        <v>24.0</v>
      </c>
      <c r="N39" s="50">
        <v>15.0</v>
      </c>
      <c r="O39" s="50">
        <v>13.0</v>
      </c>
      <c r="P39" s="50">
        <v>15.0</v>
      </c>
      <c r="Q39" s="50">
        <v>5.0</v>
      </c>
      <c r="R39" s="2"/>
      <c r="S39" s="2"/>
      <c r="T39" s="2"/>
      <c r="U39" s="2"/>
      <c r="V39" s="2"/>
      <c r="W39" s="2"/>
      <c r="X39" s="2"/>
    </row>
    <row r="40">
      <c r="A40" s="12" t="s">
        <v>14</v>
      </c>
      <c r="B40" s="47">
        <v>35.0</v>
      </c>
      <c r="C40" s="9"/>
      <c r="D40" s="8" t="s">
        <v>41</v>
      </c>
      <c r="E40" s="51">
        <f>AVERAGE(F40:S40)</f>
        <v>2.773533278</v>
      </c>
      <c r="F40" s="52">
        <f t="shared" ref="F40:Q40" si="2">F35/F36</f>
        <v>2.833675565</v>
      </c>
      <c r="G40" s="52">
        <f t="shared" si="2"/>
        <v>5.104808878</v>
      </c>
      <c r="H40" s="52">
        <f t="shared" si="2"/>
        <v>2.142857143</v>
      </c>
      <c r="I40" s="52">
        <f t="shared" si="2"/>
        <v>1.85117251</v>
      </c>
      <c r="J40" s="52">
        <f t="shared" si="2"/>
        <v>4.204359034</v>
      </c>
      <c r="K40" s="52">
        <f t="shared" si="2"/>
        <v>2.685226762</v>
      </c>
      <c r="L40" s="52">
        <f t="shared" si="2"/>
        <v>2.864150943</v>
      </c>
      <c r="M40" s="52">
        <f t="shared" si="2"/>
        <v>3.259595387</v>
      </c>
      <c r="N40" s="52">
        <f t="shared" si="2"/>
        <v>1.897341888</v>
      </c>
      <c r="O40" s="52">
        <f t="shared" si="2"/>
        <v>1.993333333</v>
      </c>
      <c r="P40" s="52">
        <f t="shared" si="2"/>
        <v>3.032522707</v>
      </c>
      <c r="Q40" s="52">
        <f t="shared" si="2"/>
        <v>1.413355182</v>
      </c>
      <c r="R40" s="2"/>
      <c r="S40" s="2"/>
      <c r="T40" s="2"/>
      <c r="U40" s="2"/>
      <c r="V40" s="2"/>
      <c r="W40" s="2"/>
      <c r="X40" s="2"/>
    </row>
    <row r="41">
      <c r="A41" s="19" t="s">
        <v>17</v>
      </c>
      <c r="B41" s="21">
        <v>0.0</v>
      </c>
      <c r="C41" s="9"/>
      <c r="D41" s="8" t="s">
        <v>73</v>
      </c>
      <c r="E41" s="48">
        <f>SUM(F38:S38)</f>
        <v>47026.225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2"/>
      <c r="S41" s="2"/>
      <c r="T41" s="2"/>
      <c r="U41" s="2"/>
      <c r="V41" s="2"/>
      <c r="W41" s="2"/>
      <c r="X41" s="2"/>
    </row>
    <row r="42">
      <c r="A42" s="19" t="s">
        <v>19</v>
      </c>
      <c r="B42" s="21">
        <v>15.0</v>
      </c>
      <c r="C42" s="9"/>
      <c r="D42" s="8" t="s">
        <v>74</v>
      </c>
      <c r="E42" s="53">
        <f>E41/13</f>
        <v>3617.401923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2"/>
      <c r="S42" s="2"/>
      <c r="T42" s="2"/>
      <c r="U42" s="2"/>
      <c r="V42" s="2"/>
      <c r="W42" s="2"/>
      <c r="X42" s="2"/>
    </row>
    <row r="43">
      <c r="A43" s="54" t="s">
        <v>22</v>
      </c>
      <c r="B43" s="55">
        <f>SUM(B37:B42)</f>
        <v>172.355</v>
      </c>
      <c r="C43" s="9"/>
      <c r="D43" s="8" t="s">
        <v>75</v>
      </c>
      <c r="E43" s="56">
        <f>E41/E39</f>
        <v>262.7163408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2"/>
      <c r="S43" s="2"/>
      <c r="T43" s="2"/>
      <c r="U43" s="2"/>
      <c r="V43" s="2"/>
      <c r="W43" s="2"/>
      <c r="X43" s="2"/>
    </row>
    <row r="44">
      <c r="A44" s="57" t="s">
        <v>24</v>
      </c>
      <c r="C44" s="9"/>
      <c r="D44" s="8" t="s">
        <v>76</v>
      </c>
      <c r="E44" s="58">
        <f>SUM(F35:S35)</f>
        <v>123883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2"/>
      <c r="S44" s="2"/>
      <c r="T44" s="2"/>
      <c r="U44" s="2"/>
      <c r="V44" s="2"/>
      <c r="W44" s="2"/>
      <c r="X44" s="2"/>
    </row>
    <row r="45">
      <c r="A45" s="19" t="s">
        <v>26</v>
      </c>
      <c r="B45" s="20">
        <f>(B37+B38+B39+B40+B41+B42)/B36</f>
        <v>0.2497898551</v>
      </c>
      <c r="C45" s="9"/>
      <c r="D45" s="8" t="s">
        <v>77</v>
      </c>
      <c r="E45" s="59">
        <f>690*E46</f>
        <v>2070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2"/>
      <c r="S45" s="2"/>
      <c r="T45" s="2"/>
      <c r="U45" s="2"/>
      <c r="V45" s="2"/>
      <c r="W45" s="2"/>
      <c r="X45" s="2"/>
    </row>
    <row r="46">
      <c r="A46" s="19" t="s">
        <v>29</v>
      </c>
      <c r="B46" s="21">
        <f>B36-B37-B38-B39-B40-B41-B42</f>
        <v>517.645</v>
      </c>
      <c r="C46" s="9"/>
      <c r="D46" s="8" t="s">
        <v>78</v>
      </c>
      <c r="E46" s="60">
        <v>3.0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2"/>
      <c r="S46" s="2"/>
      <c r="T46" s="2"/>
      <c r="U46" s="2"/>
      <c r="V46" s="2"/>
      <c r="W46" s="2"/>
      <c r="X46" s="2"/>
    </row>
    <row r="47">
      <c r="A47" s="22" t="s">
        <v>31</v>
      </c>
      <c r="B47" s="23">
        <f>(B36-(B37+B38+B39+B40))/B36</f>
        <v>0.7719492754</v>
      </c>
      <c r="C47" s="9"/>
      <c r="D47" s="8" t="s">
        <v>79</v>
      </c>
      <c r="E47" s="61">
        <f>E41-E45</f>
        <v>44956.225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2"/>
      <c r="S47" s="2"/>
      <c r="T47" s="2"/>
      <c r="U47" s="2"/>
      <c r="V47" s="2"/>
      <c r="W47" s="2"/>
      <c r="X47" s="2"/>
    </row>
    <row r="48">
      <c r="A48" s="19" t="s">
        <v>33</v>
      </c>
      <c r="B48" s="19">
        <f>(B36-B37-B38-B39-B40)/B37</f>
        <v>5.203898197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2"/>
      <c r="S48" s="2"/>
      <c r="T48" s="2"/>
      <c r="U48" s="2"/>
      <c r="V48" s="2"/>
      <c r="W48" s="2"/>
      <c r="X48" s="2"/>
    </row>
    <row r="49">
      <c r="A49" s="57" t="s">
        <v>35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2"/>
      <c r="S49" s="2"/>
      <c r="T49" s="2"/>
      <c r="U49" s="2"/>
      <c r="V49" s="2"/>
      <c r="W49" s="2"/>
      <c r="X49" s="2"/>
    </row>
    <row r="50">
      <c r="A50" s="62" t="s">
        <v>80</v>
      </c>
      <c r="B50" s="47">
        <v>250.0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2"/>
      <c r="S50" s="2"/>
      <c r="T50" s="2"/>
      <c r="U50" s="2"/>
      <c r="V50" s="2"/>
      <c r="W50" s="2"/>
      <c r="X50" s="2"/>
    </row>
    <row r="51">
      <c r="A51" s="40" t="s">
        <v>38</v>
      </c>
      <c r="B51" s="63">
        <f>B50/B36</f>
        <v>0.3623188406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2"/>
      <c r="S51" s="2"/>
      <c r="T51" s="2"/>
      <c r="U51" s="2"/>
      <c r="V51" s="2"/>
      <c r="W51" s="2"/>
      <c r="X51" s="2"/>
    </row>
    <row r="52">
      <c r="A52" s="40" t="s">
        <v>41</v>
      </c>
      <c r="B52" s="40">
        <f>B36/B50</f>
        <v>2.76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2"/>
      <c r="S52" s="2"/>
      <c r="T52" s="2"/>
      <c r="U52" s="2"/>
      <c r="V52" s="2"/>
      <c r="W52" s="2"/>
      <c r="X52" s="2"/>
    </row>
    <row r="53">
      <c r="A53" s="38" t="s">
        <v>44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2"/>
      <c r="S53" s="2"/>
      <c r="T53" s="2"/>
      <c r="U53" s="2"/>
      <c r="V53" s="2"/>
      <c r="W53" s="2"/>
      <c r="X53" s="2"/>
    </row>
    <row r="54">
      <c r="A54" s="64" t="s">
        <v>46</v>
      </c>
      <c r="B54" s="65">
        <f>B46-B50</f>
        <v>267.645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2"/>
      <c r="S54" s="2"/>
      <c r="T54" s="2"/>
      <c r="U54" s="2"/>
      <c r="V54" s="2"/>
      <c r="W54" s="2"/>
      <c r="X54" s="2"/>
    </row>
    <row r="55">
      <c r="A55" s="9"/>
      <c r="B55" s="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9"/>
      <c r="B56" s="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9"/>
      <c r="B57" s="66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9"/>
      <c r="B58" s="66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38" t="s">
        <v>48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40" t="s">
        <v>49</v>
      </c>
      <c r="B60" s="46">
        <f>B43</f>
        <v>172.355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40" t="s">
        <v>3</v>
      </c>
      <c r="B61" s="46">
        <f>B36</f>
        <v>690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40" t="s">
        <v>51</v>
      </c>
      <c r="B62" s="52">
        <f>B61-B60</f>
        <v>517.645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40" t="s">
        <v>81</v>
      </c>
      <c r="B63" s="67">
        <f>1/(B62/B61)</f>
        <v>1.332959847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</sheetData>
  <mergeCells count="14">
    <mergeCell ref="A34:B34"/>
    <mergeCell ref="C34:E34"/>
    <mergeCell ref="A35:B35"/>
    <mergeCell ref="A44:B44"/>
    <mergeCell ref="A49:B49"/>
    <mergeCell ref="A53:B53"/>
    <mergeCell ref="A59:B59"/>
    <mergeCell ref="A1:B1"/>
    <mergeCell ref="A2:B2"/>
    <mergeCell ref="A11:B11"/>
    <mergeCell ref="A16:B16"/>
    <mergeCell ref="A20:B20"/>
    <mergeCell ref="A25:B25"/>
    <mergeCell ref="J33:M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</cols>
  <sheetData>
    <row r="1">
      <c r="A1" s="1" t="s">
        <v>0</v>
      </c>
      <c r="C1" s="2"/>
      <c r="D1" s="2"/>
      <c r="E1" s="2"/>
      <c r="F1" s="2"/>
      <c r="G1" s="2"/>
      <c r="H1" s="2"/>
      <c r="I1" s="2"/>
      <c r="J1" s="2"/>
      <c r="K1" s="3" t="s">
        <v>1</v>
      </c>
      <c r="L1" s="4"/>
      <c r="M1" s="4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5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6" t="s">
        <v>3</v>
      </c>
      <c r="B3" s="7">
        <v>690.0</v>
      </c>
      <c r="C3" s="2"/>
      <c r="D3" s="2"/>
      <c r="E3" s="2"/>
      <c r="F3" s="2"/>
      <c r="G3" s="2"/>
      <c r="H3" s="2"/>
      <c r="I3" s="2"/>
      <c r="J3" s="8" t="s">
        <v>4</v>
      </c>
      <c r="K3" s="8"/>
      <c r="L3" s="9"/>
      <c r="M3" s="9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6" t="s">
        <v>5</v>
      </c>
      <c r="B4" s="7">
        <v>170.0</v>
      </c>
      <c r="C4" s="10" t="s">
        <v>6</v>
      </c>
      <c r="D4" s="2"/>
      <c r="E4" s="2"/>
      <c r="F4" s="2"/>
      <c r="G4" s="2"/>
      <c r="H4" s="2"/>
      <c r="I4" s="2"/>
      <c r="J4" s="11" t="s">
        <v>7</v>
      </c>
      <c r="K4" s="11"/>
      <c r="L4" s="9"/>
      <c r="M4" s="9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6" t="s">
        <v>8</v>
      </c>
      <c r="B5" s="7">
        <v>0.0</v>
      </c>
      <c r="C5" s="10" t="s">
        <v>9</v>
      </c>
      <c r="D5" s="2"/>
      <c r="E5" s="2"/>
      <c r="F5" s="2"/>
      <c r="G5" s="2"/>
      <c r="H5" s="2"/>
      <c r="I5" s="2"/>
      <c r="J5" s="9" t="s">
        <v>10</v>
      </c>
      <c r="K5" s="9"/>
      <c r="L5" s="9"/>
      <c r="M5" s="9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6" t="s">
        <v>11</v>
      </c>
      <c r="B6" s="7">
        <v>0.0</v>
      </c>
      <c r="C6" s="10" t="s">
        <v>12</v>
      </c>
      <c r="D6" s="2"/>
      <c r="E6" s="2"/>
      <c r="F6" s="2"/>
      <c r="G6" s="2"/>
      <c r="H6" s="2"/>
      <c r="I6" s="2"/>
      <c r="J6" s="9" t="s">
        <v>13</v>
      </c>
      <c r="K6" s="9"/>
      <c r="L6" s="9"/>
      <c r="M6" s="9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12" t="s">
        <v>14</v>
      </c>
      <c r="B7" s="7">
        <v>20.0</v>
      </c>
      <c r="C7" s="10" t="s">
        <v>15</v>
      </c>
      <c r="D7" s="2"/>
      <c r="E7" s="2"/>
      <c r="F7" s="2"/>
      <c r="G7" s="2"/>
      <c r="H7" s="2"/>
      <c r="I7" s="2"/>
      <c r="J7" s="9" t="s">
        <v>16</v>
      </c>
      <c r="K7" s="9"/>
      <c r="L7" s="9"/>
      <c r="M7" s="9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13" t="s">
        <v>17</v>
      </c>
      <c r="B8" s="14">
        <v>0.0</v>
      </c>
      <c r="C8" s="10" t="s">
        <v>18</v>
      </c>
      <c r="D8" s="2"/>
      <c r="E8" s="2"/>
      <c r="F8" s="2"/>
      <c r="G8" s="2"/>
      <c r="H8" s="2"/>
      <c r="I8" s="2"/>
      <c r="J8" s="9"/>
      <c r="K8" s="9"/>
      <c r="L8" s="9"/>
      <c r="M8" s="9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13" t="s">
        <v>19</v>
      </c>
      <c r="B9" s="14">
        <v>0.0</v>
      </c>
      <c r="C9" s="10" t="s">
        <v>20</v>
      </c>
      <c r="D9" s="2"/>
      <c r="E9" s="2"/>
      <c r="F9" s="2"/>
      <c r="G9" s="2"/>
      <c r="H9" s="2"/>
      <c r="I9" s="2"/>
      <c r="J9" s="9" t="s">
        <v>21</v>
      </c>
      <c r="K9" s="15"/>
      <c r="L9" s="9"/>
      <c r="M9" s="9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16" t="s">
        <v>22</v>
      </c>
      <c r="B10" s="17">
        <f>SUM(B4:B9)</f>
        <v>190</v>
      </c>
      <c r="C10" s="2"/>
      <c r="D10" s="2"/>
      <c r="E10" s="2"/>
      <c r="F10" s="2"/>
      <c r="G10" s="2"/>
      <c r="H10" s="2"/>
      <c r="I10" s="2"/>
      <c r="J10" s="9" t="s">
        <v>23</v>
      </c>
      <c r="K10" s="9"/>
      <c r="L10" s="9"/>
      <c r="M10" s="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18" t="s">
        <v>24</v>
      </c>
      <c r="C11" s="2"/>
      <c r="D11" s="2"/>
      <c r="E11" s="2"/>
      <c r="F11" s="2"/>
      <c r="G11" s="2"/>
      <c r="H11" s="2"/>
      <c r="I11" s="2"/>
      <c r="J11" s="9" t="s">
        <v>25</v>
      </c>
      <c r="K11" s="9"/>
      <c r="L11" s="9"/>
      <c r="M11" s="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19" t="s">
        <v>26</v>
      </c>
      <c r="B12" s="20">
        <f>(B4+B5+B6+B7+B8+B9)/B3</f>
        <v>0.2753623188</v>
      </c>
      <c r="C12" s="10" t="s">
        <v>27</v>
      </c>
      <c r="D12" s="2"/>
      <c r="E12" s="2"/>
      <c r="F12" s="2"/>
      <c r="G12" s="2"/>
      <c r="H12" s="2"/>
      <c r="I12" s="2"/>
      <c r="J12" s="9" t="s">
        <v>28</v>
      </c>
      <c r="K12" s="9"/>
      <c r="L12" s="9"/>
      <c r="M12" s="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13" t="s">
        <v>29</v>
      </c>
      <c r="B13" s="21">
        <f>B3-B4-B5-B6-B7-B8-B9</f>
        <v>500</v>
      </c>
      <c r="C13" s="10" t="s">
        <v>30</v>
      </c>
      <c r="D13" s="2"/>
      <c r="E13" s="2"/>
      <c r="F13" s="2"/>
      <c r="G13" s="2"/>
      <c r="H13" s="2"/>
      <c r="I13" s="2"/>
      <c r="J13" s="9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22" t="s">
        <v>31</v>
      </c>
      <c r="B14" s="23">
        <f>(B3-(B4+B5+B6+B7+B8+B9))/B3</f>
        <v>0.7246376812</v>
      </c>
      <c r="C14" s="10" t="s">
        <v>32</v>
      </c>
      <c r="D14" s="2"/>
      <c r="E14" s="2"/>
      <c r="F14" s="2"/>
      <c r="G14" s="2"/>
      <c r="H14" s="2"/>
      <c r="I14" s="2"/>
      <c r="J14" s="9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19" t="s">
        <v>33</v>
      </c>
      <c r="B15" s="24">
        <f>B3/B10</f>
        <v>3.631578947</v>
      </c>
      <c r="C15" s="10" t="s">
        <v>34</v>
      </c>
      <c r="D15" s="2"/>
      <c r="E15" s="2"/>
      <c r="F15" s="2"/>
      <c r="G15" s="2"/>
      <c r="H15" s="2"/>
      <c r="I15" s="2"/>
      <c r="J15" s="9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18" t="s">
        <v>35</v>
      </c>
      <c r="C16" s="2"/>
      <c r="D16" s="2"/>
      <c r="E16" s="2"/>
      <c r="F16" s="2"/>
      <c r="G16" s="2"/>
      <c r="H16" s="2"/>
      <c r="I16" s="2"/>
      <c r="J16" s="9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25" t="s">
        <v>36</v>
      </c>
      <c r="B17" s="7">
        <v>209.0</v>
      </c>
      <c r="C17" s="10" t="s">
        <v>37</v>
      </c>
      <c r="D17" s="2"/>
      <c r="E17" s="2"/>
      <c r="F17" s="2"/>
      <c r="G17" s="2"/>
      <c r="H17" s="2"/>
      <c r="I17" s="2"/>
      <c r="J17" s="9"/>
      <c r="K17" s="1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26" t="s">
        <v>38</v>
      </c>
      <c r="B18" s="27">
        <f>B17/B3</f>
        <v>0.3028985507</v>
      </c>
      <c r="C18" s="10" t="s">
        <v>39</v>
      </c>
      <c r="D18" s="2"/>
      <c r="E18" s="2"/>
      <c r="F18" s="2"/>
      <c r="G18" s="2"/>
      <c r="H18" s="2"/>
      <c r="I18" s="2"/>
      <c r="J18" s="8" t="s">
        <v>40</v>
      </c>
      <c r="K18" s="1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26" t="s">
        <v>41</v>
      </c>
      <c r="B19" s="28">
        <f>B3/B17</f>
        <v>3.301435407</v>
      </c>
      <c r="C19" s="10" t="s">
        <v>42</v>
      </c>
      <c r="D19" s="2"/>
      <c r="E19" s="2"/>
      <c r="F19" s="2"/>
      <c r="G19" s="2"/>
      <c r="H19" s="2"/>
      <c r="I19" s="2"/>
      <c r="J19" s="9" t="s">
        <v>43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1" t="s">
        <v>44</v>
      </c>
      <c r="C20" s="2"/>
      <c r="D20" s="2"/>
      <c r="E20" s="2"/>
      <c r="F20" s="2"/>
      <c r="G20" s="2"/>
      <c r="H20" s="2"/>
      <c r="I20" s="2"/>
      <c r="J20" s="9" t="s">
        <v>45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29" t="s">
        <v>46</v>
      </c>
      <c r="B21" s="30">
        <f>B13-B17</f>
        <v>291</v>
      </c>
      <c r="C21" s="10" t="s">
        <v>47</v>
      </c>
      <c r="D21" s="2"/>
      <c r="E21" s="2"/>
      <c r="F21" s="2"/>
      <c r="G21" s="2"/>
      <c r="H21" s="2"/>
      <c r="I21" s="2"/>
      <c r="J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31"/>
      <c r="B24" s="32"/>
      <c r="C24" s="2"/>
      <c r="D24" s="2"/>
      <c r="E24" s="2"/>
      <c r="F24" s="2"/>
      <c r="G24" s="2"/>
      <c r="H24" s="2"/>
      <c r="I24" s="2"/>
      <c r="J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1" t="s">
        <v>48</v>
      </c>
      <c r="C25" s="2"/>
      <c r="D25" s="2"/>
      <c r="E25" s="2"/>
      <c r="F25" s="2"/>
      <c r="G25" s="2"/>
      <c r="H25" s="2"/>
      <c r="I25" s="2"/>
      <c r="J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26" t="s">
        <v>49</v>
      </c>
      <c r="B26" s="33">
        <f>B10</f>
        <v>190</v>
      </c>
      <c r="C26" s="10" t="s">
        <v>50</v>
      </c>
      <c r="D26" s="2"/>
      <c r="E26" s="2"/>
      <c r="F26" s="2"/>
      <c r="G26" s="2"/>
      <c r="H26" s="2"/>
      <c r="I26" s="2"/>
      <c r="J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26" t="s">
        <v>3</v>
      </c>
      <c r="B27" s="34">
        <f>B3</f>
        <v>690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26" t="s">
        <v>51</v>
      </c>
      <c r="B28" s="35">
        <f>B27-B26</f>
        <v>500</v>
      </c>
      <c r="C28" s="10" t="s">
        <v>52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26" t="s">
        <v>48</v>
      </c>
      <c r="B29" s="36">
        <f>1/(B28/B27)</f>
        <v>1.38</v>
      </c>
      <c r="C29" s="10" t="s">
        <v>53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37" t="s">
        <v>54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38" t="s">
        <v>0</v>
      </c>
      <c r="C34" s="39" t="s">
        <v>55</v>
      </c>
      <c r="F34" s="68" t="s">
        <v>82</v>
      </c>
      <c r="G34" s="68" t="s">
        <v>83</v>
      </c>
      <c r="H34" s="68" t="s">
        <v>84</v>
      </c>
      <c r="I34" s="42"/>
      <c r="J34" s="43"/>
      <c r="K34" s="40"/>
      <c r="L34" s="40"/>
      <c r="M34" s="41"/>
      <c r="N34" s="42"/>
      <c r="O34" s="40"/>
      <c r="P34" s="40"/>
      <c r="Q34" s="44"/>
      <c r="R34" s="2"/>
      <c r="S34" s="2"/>
      <c r="T34" s="2"/>
      <c r="U34" s="2"/>
      <c r="V34" s="2"/>
      <c r="W34" s="2"/>
      <c r="X34" s="2"/>
    </row>
    <row r="35">
      <c r="A35" s="45" t="s">
        <v>2</v>
      </c>
      <c r="C35" s="9"/>
      <c r="D35" s="9"/>
      <c r="E35" s="41" t="s">
        <v>68</v>
      </c>
      <c r="F35" s="69">
        <v>0.0</v>
      </c>
      <c r="G35" s="69">
        <v>1380.0</v>
      </c>
      <c r="H35" s="69">
        <v>690.0</v>
      </c>
      <c r="I35" s="46"/>
      <c r="J35" s="46"/>
      <c r="K35" s="46"/>
      <c r="L35" s="46"/>
      <c r="M35" s="46"/>
      <c r="N35" s="46"/>
      <c r="O35" s="46"/>
      <c r="P35" s="46"/>
      <c r="Q35" s="46"/>
      <c r="R35" s="2"/>
      <c r="S35" s="2"/>
      <c r="T35" s="2"/>
      <c r="U35" s="2"/>
      <c r="V35" s="2"/>
      <c r="W35" s="2"/>
      <c r="X35" s="2"/>
    </row>
    <row r="36">
      <c r="A36" s="12" t="s">
        <v>3</v>
      </c>
      <c r="B36" s="47">
        <v>690.0</v>
      </c>
      <c r="C36" s="9"/>
      <c r="D36" s="9"/>
      <c r="E36" s="44" t="s">
        <v>69</v>
      </c>
      <c r="F36" s="69">
        <v>0.0</v>
      </c>
      <c r="G36" s="69">
        <v>0.0</v>
      </c>
      <c r="H36" s="69">
        <v>740.0</v>
      </c>
      <c r="I36" s="46"/>
      <c r="J36" s="46"/>
      <c r="K36" s="46"/>
      <c r="L36" s="46"/>
      <c r="M36" s="46"/>
      <c r="N36" s="46"/>
      <c r="O36" s="46"/>
      <c r="P36" s="46"/>
      <c r="Q36" s="46"/>
      <c r="R36" s="2"/>
      <c r="S36" s="2"/>
      <c r="T36" s="2"/>
      <c r="U36" s="2"/>
      <c r="V36" s="2"/>
      <c r="W36" s="2"/>
      <c r="X36" s="2"/>
    </row>
    <row r="37">
      <c r="A37" s="12" t="s">
        <v>5</v>
      </c>
      <c r="B37" s="47">
        <f>20471/200</f>
        <v>102.355</v>
      </c>
      <c r="C37" s="9"/>
      <c r="D37" s="9"/>
      <c r="E37" s="44" t="s">
        <v>49</v>
      </c>
      <c r="F37" s="69">
        <v>0.0</v>
      </c>
      <c r="G37" s="69">
        <v>0.0</v>
      </c>
      <c r="H37" s="69">
        <v>0.0</v>
      </c>
      <c r="I37" s="46"/>
      <c r="J37" s="46"/>
      <c r="K37" s="46"/>
      <c r="L37" s="46"/>
      <c r="M37" s="46"/>
      <c r="N37" s="46"/>
      <c r="O37" s="46"/>
      <c r="P37" s="46"/>
      <c r="Q37" s="46"/>
      <c r="R37" s="2"/>
      <c r="S37" s="2"/>
      <c r="T37" s="2"/>
      <c r="U37" s="2"/>
      <c r="V37" s="2"/>
      <c r="W37" s="2"/>
      <c r="X37" s="2"/>
    </row>
    <row r="38">
      <c r="A38" s="12" t="s">
        <v>8</v>
      </c>
      <c r="B38" s="47">
        <v>0.0</v>
      </c>
      <c r="C38" s="9"/>
      <c r="D38" s="9"/>
      <c r="E38" s="43" t="s">
        <v>70</v>
      </c>
      <c r="F38" s="48">
        <f t="shared" ref="F38:H38" si="1">F35-F36-F37</f>
        <v>0</v>
      </c>
      <c r="G38" s="48">
        <f t="shared" si="1"/>
        <v>1380</v>
      </c>
      <c r="H38" s="48">
        <f t="shared" si="1"/>
        <v>-50</v>
      </c>
      <c r="I38" s="48"/>
      <c r="J38" s="48"/>
      <c r="K38" s="48"/>
      <c r="L38" s="48"/>
      <c r="M38" s="48"/>
      <c r="N38" s="48"/>
      <c r="O38" s="48"/>
      <c r="P38" s="48"/>
      <c r="Q38" s="48"/>
      <c r="R38" s="2"/>
      <c r="S38" s="2"/>
      <c r="T38" s="2"/>
      <c r="U38" s="2"/>
      <c r="V38" s="2"/>
      <c r="W38" s="2"/>
      <c r="X38" s="2"/>
    </row>
    <row r="39">
      <c r="A39" s="12" t="s">
        <v>71</v>
      </c>
      <c r="B39" s="47">
        <v>20.0</v>
      </c>
      <c r="C39" s="9"/>
      <c r="D39" s="8" t="s">
        <v>72</v>
      </c>
      <c r="E39" s="49">
        <f>SUM(F39:S39)</f>
        <v>3</v>
      </c>
      <c r="F39" s="70">
        <v>0.0</v>
      </c>
      <c r="G39" s="70">
        <v>2.0</v>
      </c>
      <c r="H39" s="70">
        <v>1.0</v>
      </c>
      <c r="I39" s="50"/>
      <c r="J39" s="50"/>
      <c r="K39" s="50"/>
      <c r="L39" s="50"/>
      <c r="M39" s="50"/>
      <c r="N39" s="50"/>
      <c r="O39" s="50"/>
      <c r="P39" s="50"/>
      <c r="Q39" s="50"/>
      <c r="R39" s="2"/>
      <c r="S39" s="2"/>
      <c r="T39" s="2"/>
      <c r="U39" s="2"/>
      <c r="V39" s="2"/>
      <c r="W39" s="2"/>
      <c r="X39" s="2"/>
    </row>
    <row r="40">
      <c r="A40" s="12" t="s">
        <v>14</v>
      </c>
      <c r="B40" s="47">
        <v>35.0</v>
      </c>
      <c r="C40" s="9"/>
      <c r="D40" s="8" t="s">
        <v>41</v>
      </c>
      <c r="E40" s="51" t="str">
        <f>AVERAGE(F40:S40)</f>
        <v>#DIV/0!</v>
      </c>
      <c r="F40" s="52" t="str">
        <f t="shared" ref="F40:H40" si="2">F35/F36</f>
        <v>#DIV/0!</v>
      </c>
      <c r="G40" s="52" t="str">
        <f t="shared" si="2"/>
        <v>#DIV/0!</v>
      </c>
      <c r="H40" s="52">
        <f t="shared" si="2"/>
        <v>0.9324324324</v>
      </c>
      <c r="I40" s="52"/>
      <c r="J40" s="52"/>
      <c r="K40" s="52"/>
      <c r="L40" s="52"/>
      <c r="M40" s="52"/>
      <c r="N40" s="52"/>
      <c r="O40" s="52"/>
      <c r="P40" s="52"/>
      <c r="Q40" s="52"/>
      <c r="R40" s="2"/>
      <c r="S40" s="2"/>
      <c r="T40" s="2"/>
      <c r="U40" s="2"/>
      <c r="V40" s="2"/>
      <c r="W40" s="2"/>
      <c r="X40" s="2"/>
    </row>
    <row r="41">
      <c r="A41" s="19" t="s">
        <v>17</v>
      </c>
      <c r="B41" s="21">
        <v>0.0</v>
      </c>
      <c r="C41" s="9"/>
      <c r="D41" s="8" t="s">
        <v>73</v>
      </c>
      <c r="E41" s="48">
        <f>SUM(F38:S38)</f>
        <v>1330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2"/>
      <c r="S41" s="2"/>
      <c r="T41" s="2"/>
      <c r="U41" s="2"/>
      <c r="V41" s="2"/>
      <c r="W41" s="2"/>
      <c r="X41" s="2"/>
    </row>
    <row r="42">
      <c r="A42" s="19" t="s">
        <v>19</v>
      </c>
      <c r="B42" s="21">
        <v>15.0</v>
      </c>
      <c r="C42" s="9"/>
      <c r="D42" s="8" t="s">
        <v>74</v>
      </c>
      <c r="E42" s="53">
        <f>E41/13</f>
        <v>102.3076923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2"/>
      <c r="S42" s="2"/>
      <c r="T42" s="2"/>
      <c r="U42" s="2"/>
      <c r="V42" s="2"/>
      <c r="W42" s="2"/>
      <c r="X42" s="2"/>
    </row>
    <row r="43">
      <c r="A43" s="54" t="s">
        <v>22</v>
      </c>
      <c r="B43" s="55">
        <f>SUM(B37:B42)</f>
        <v>172.355</v>
      </c>
      <c r="C43" s="9"/>
      <c r="D43" s="8" t="s">
        <v>75</v>
      </c>
      <c r="E43" s="56">
        <f>E41/E39</f>
        <v>443.3333333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2"/>
      <c r="S43" s="2"/>
      <c r="T43" s="2"/>
      <c r="U43" s="2"/>
      <c r="V43" s="2"/>
      <c r="W43" s="2"/>
      <c r="X43" s="2"/>
    </row>
    <row r="44">
      <c r="A44" s="57" t="s">
        <v>24</v>
      </c>
      <c r="C44" s="9"/>
      <c r="D44" s="8" t="s">
        <v>76</v>
      </c>
      <c r="E44" s="58">
        <f>SUM(F35:S35)</f>
        <v>2070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2"/>
      <c r="S44" s="2"/>
      <c r="T44" s="2"/>
      <c r="U44" s="2"/>
      <c r="V44" s="2"/>
      <c r="W44" s="2"/>
      <c r="X44" s="2"/>
    </row>
    <row r="45">
      <c r="A45" s="19" t="s">
        <v>26</v>
      </c>
      <c r="B45" s="20">
        <f>(B37+B38+B39+B40+B41+B42)/B36</f>
        <v>0.2497898551</v>
      </c>
      <c r="C45" s="9"/>
      <c r="D45" s="8" t="s">
        <v>77</v>
      </c>
      <c r="E45" s="59">
        <f>690*E46</f>
        <v>0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2"/>
      <c r="S45" s="2"/>
      <c r="T45" s="2"/>
      <c r="U45" s="2"/>
      <c r="V45" s="2"/>
      <c r="W45" s="2"/>
      <c r="X45" s="2"/>
    </row>
    <row r="46">
      <c r="A46" s="19" t="s">
        <v>29</v>
      </c>
      <c r="B46" s="21">
        <f>B36-B37-B38-B39-B40-B41-B42</f>
        <v>517.645</v>
      </c>
      <c r="C46" s="9"/>
      <c r="D46" s="8" t="s">
        <v>78</v>
      </c>
      <c r="E46" s="71">
        <v>0.0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2"/>
      <c r="S46" s="2"/>
      <c r="T46" s="2"/>
      <c r="U46" s="2"/>
      <c r="V46" s="2"/>
      <c r="W46" s="2"/>
      <c r="X46" s="2"/>
    </row>
    <row r="47">
      <c r="A47" s="22" t="s">
        <v>31</v>
      </c>
      <c r="B47" s="23">
        <f>(B36-(B37+B38+B39+B40))/B36</f>
        <v>0.7719492754</v>
      </c>
      <c r="C47" s="9"/>
      <c r="D47" s="8" t="s">
        <v>79</v>
      </c>
      <c r="E47" s="61">
        <f>E41-E45</f>
        <v>1330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2"/>
      <c r="S47" s="2"/>
      <c r="T47" s="2"/>
      <c r="U47" s="2"/>
      <c r="V47" s="2"/>
      <c r="W47" s="2"/>
      <c r="X47" s="2"/>
    </row>
    <row r="48">
      <c r="A48" s="19" t="s">
        <v>33</v>
      </c>
      <c r="B48" s="19">
        <f>(B36-B37-B38-B39-B40)/B37</f>
        <v>5.203898197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2"/>
      <c r="S48" s="2"/>
      <c r="T48" s="2"/>
      <c r="U48" s="2"/>
      <c r="V48" s="2"/>
      <c r="W48" s="2"/>
      <c r="X48" s="2"/>
    </row>
    <row r="49">
      <c r="A49" s="57" t="s">
        <v>35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2"/>
      <c r="S49" s="2"/>
      <c r="T49" s="2"/>
      <c r="U49" s="2"/>
      <c r="V49" s="2"/>
      <c r="W49" s="2"/>
      <c r="X49" s="2"/>
    </row>
    <row r="50">
      <c r="A50" s="62" t="s">
        <v>80</v>
      </c>
      <c r="B50" s="47">
        <v>250.0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2"/>
      <c r="S50" s="2"/>
      <c r="T50" s="2"/>
      <c r="U50" s="2"/>
      <c r="V50" s="2"/>
      <c r="W50" s="2"/>
      <c r="X50" s="2"/>
    </row>
    <row r="51">
      <c r="A51" s="40" t="s">
        <v>38</v>
      </c>
      <c r="B51" s="63">
        <f>B50/B36</f>
        <v>0.3623188406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2"/>
      <c r="S51" s="2"/>
      <c r="T51" s="2"/>
      <c r="U51" s="2"/>
      <c r="V51" s="2"/>
      <c r="W51" s="2"/>
      <c r="X51" s="2"/>
    </row>
    <row r="52">
      <c r="A52" s="40" t="s">
        <v>41</v>
      </c>
      <c r="B52" s="40">
        <f>B36/B50</f>
        <v>2.76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2"/>
      <c r="S52" s="2"/>
      <c r="T52" s="2"/>
      <c r="U52" s="2"/>
      <c r="V52" s="2"/>
      <c r="W52" s="2"/>
      <c r="X52" s="2"/>
    </row>
    <row r="53">
      <c r="A53" s="38" t="s">
        <v>44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2"/>
      <c r="S53" s="2"/>
      <c r="T53" s="2"/>
      <c r="U53" s="2"/>
      <c r="V53" s="2"/>
      <c r="W53" s="2"/>
      <c r="X53" s="2"/>
    </row>
    <row r="54">
      <c r="A54" s="64" t="s">
        <v>46</v>
      </c>
      <c r="B54" s="65">
        <f>B46-B50</f>
        <v>267.645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2"/>
      <c r="S54" s="2"/>
      <c r="T54" s="2"/>
      <c r="U54" s="2"/>
      <c r="V54" s="2"/>
      <c r="W54" s="2"/>
      <c r="X54" s="2"/>
    </row>
    <row r="55">
      <c r="A55" s="9"/>
      <c r="B55" s="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9"/>
      <c r="B56" s="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9"/>
      <c r="B57" s="66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9"/>
      <c r="B58" s="66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38" t="s">
        <v>48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40" t="s">
        <v>49</v>
      </c>
      <c r="B60" s="46">
        <f>B43</f>
        <v>172.355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40" t="s">
        <v>3</v>
      </c>
      <c r="B61" s="46">
        <f>B36</f>
        <v>690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40" t="s">
        <v>51</v>
      </c>
      <c r="B62" s="52">
        <f>B61-B60</f>
        <v>517.645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40" t="s">
        <v>81</v>
      </c>
      <c r="B63" s="67">
        <f>1/(B62/B61)</f>
        <v>1.332959847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</sheetData>
  <mergeCells count="14">
    <mergeCell ref="A34:B34"/>
    <mergeCell ref="C34:E34"/>
    <mergeCell ref="A35:B35"/>
    <mergeCell ref="A44:B44"/>
    <mergeCell ref="A49:B49"/>
    <mergeCell ref="A53:B53"/>
    <mergeCell ref="A59:B59"/>
    <mergeCell ref="A1:B1"/>
    <mergeCell ref="A2:B2"/>
    <mergeCell ref="A11:B11"/>
    <mergeCell ref="A16:B16"/>
    <mergeCell ref="A20:B20"/>
    <mergeCell ref="A25:B25"/>
    <mergeCell ref="J33:M33"/>
  </mergeCells>
  <drawing r:id="rId1"/>
</worksheet>
</file>