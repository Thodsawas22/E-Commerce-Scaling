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agle\OneDrive\E-Com\RoadMap\outputs\ecommerce_scaling_model\"/>
    </mc:Choice>
  </mc:AlternateContent>
  <xr:revisionPtr revIDLastSave="0" documentId="13_ncr:1_{826B9916-E79C-41C7-B41B-3637CD00DE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Inputs" sheetId="2" r:id="rId2"/>
    <sheet name="Cost Builder" sheetId="3" r:id="rId3"/>
    <sheet name="Roadmap" sheetId="4" r:id="rId4"/>
    <sheet name="Scenario Matrix" sheetId="5" r:id="rId5"/>
    <sheet name="Checks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D6" i="1"/>
  <c r="F13" i="6"/>
  <c r="E13" i="6"/>
  <c r="D13" i="6"/>
  <c r="C13" i="6"/>
  <c r="B13" i="6"/>
  <c r="E12" i="6"/>
  <c r="C12" i="6"/>
  <c r="B12" i="6"/>
  <c r="F12" i="6" s="1"/>
  <c r="F11" i="6"/>
  <c r="E11" i="6"/>
  <c r="C11" i="6"/>
  <c r="D11" i="6" s="1"/>
  <c r="B11" i="6"/>
  <c r="E10" i="6"/>
  <c r="C10" i="6"/>
  <c r="B10" i="6"/>
  <c r="F10" i="6" s="1"/>
  <c r="E9" i="6"/>
  <c r="C9" i="6"/>
  <c r="E8" i="6"/>
  <c r="C8" i="6"/>
  <c r="E7" i="6"/>
  <c r="C7" i="6"/>
  <c r="E6" i="6"/>
  <c r="C6" i="6"/>
  <c r="P14" i="5"/>
  <c r="P13" i="5"/>
  <c r="P12" i="5"/>
  <c r="P11" i="5"/>
  <c r="P10" i="5"/>
  <c r="P9" i="5"/>
  <c r="P8" i="5"/>
  <c r="P7" i="5"/>
  <c r="P6" i="5"/>
  <c r="J59" i="4"/>
  <c r="I59" i="4"/>
  <c r="M49" i="4"/>
  <c r="L49" i="4"/>
  <c r="K49" i="4"/>
  <c r="J49" i="4"/>
  <c r="I49" i="4"/>
  <c r="H49" i="4"/>
  <c r="G49" i="4"/>
  <c r="F49" i="4"/>
  <c r="E49" i="4"/>
  <c r="D49" i="4"/>
  <c r="C49" i="4"/>
  <c r="B49" i="4"/>
  <c r="B44" i="4"/>
  <c r="J40" i="4"/>
  <c r="I40" i="4"/>
  <c r="E40" i="4"/>
  <c r="B40" i="4"/>
  <c r="M30" i="4"/>
  <c r="L30" i="4"/>
  <c r="K30" i="4"/>
  <c r="J30" i="4"/>
  <c r="I30" i="4"/>
  <c r="H30" i="4"/>
  <c r="G30" i="4"/>
  <c r="F30" i="4"/>
  <c r="E30" i="4"/>
  <c r="D30" i="4"/>
  <c r="C30" i="4"/>
  <c r="B30" i="4"/>
  <c r="B25" i="4"/>
  <c r="B26" i="4" s="1"/>
  <c r="B27" i="4" s="1"/>
  <c r="J21" i="4"/>
  <c r="I21" i="4"/>
  <c r="H21" i="4"/>
  <c r="G21" i="4"/>
  <c r="F21" i="4"/>
  <c r="B21" i="4"/>
  <c r="M11" i="4"/>
  <c r="L11" i="4"/>
  <c r="K11" i="4"/>
  <c r="J11" i="4"/>
  <c r="I11" i="4"/>
  <c r="H11" i="4"/>
  <c r="G11" i="4"/>
  <c r="F11" i="4"/>
  <c r="E11" i="4"/>
  <c r="D11" i="4"/>
  <c r="C11" i="4"/>
  <c r="B11" i="4"/>
  <c r="B6" i="4"/>
  <c r="B7" i="4" s="1"/>
  <c r="B21" i="3"/>
  <c r="B20" i="3"/>
  <c r="B19" i="3"/>
  <c r="B18" i="3"/>
  <c r="H13" i="3"/>
  <c r="G13" i="3"/>
  <c r="F13" i="3"/>
  <c r="E13" i="3"/>
  <c r="C13" i="3"/>
  <c r="H12" i="3"/>
  <c r="G12" i="3"/>
  <c r="F12" i="3"/>
  <c r="E12" i="3"/>
  <c r="C12" i="3"/>
  <c r="C6" i="3"/>
  <c r="D31" i="2"/>
  <c r="B31" i="2"/>
  <c r="D30" i="2"/>
  <c r="B30" i="2"/>
  <c r="D29" i="2"/>
  <c r="B29" i="2"/>
  <c r="B24" i="2"/>
  <c r="G15" i="2"/>
  <c r="C31" i="2" s="1"/>
  <c r="G14" i="2"/>
  <c r="C30" i="2" s="1"/>
  <c r="G13" i="2"/>
  <c r="C29" i="2" s="1"/>
  <c r="C14" i="1"/>
  <c r="C13" i="1"/>
  <c r="C12" i="1"/>
  <c r="L8" i="1"/>
  <c r="J8" i="1"/>
  <c r="H8" i="1"/>
  <c r="J7" i="1"/>
  <c r="B6" i="1"/>
  <c r="D10" i="6" l="1"/>
  <c r="B9" i="4"/>
  <c r="B25" i="2"/>
  <c r="B28" i="4"/>
  <c r="C20" i="3"/>
  <c r="C14" i="5"/>
  <c r="AB14" i="5" s="1"/>
  <c r="C13" i="5"/>
  <c r="AB13" i="5" s="1"/>
  <c r="C12" i="5"/>
  <c r="AB12" i="5" s="1"/>
  <c r="F31" i="2"/>
  <c r="G31" i="2"/>
  <c r="F8" i="1"/>
  <c r="G6" i="3"/>
  <c r="D20" i="3"/>
  <c r="H20" i="3" s="1"/>
  <c r="D18" i="3"/>
  <c r="H18" i="3" s="1"/>
  <c r="G29" i="2"/>
  <c r="C8" i="5"/>
  <c r="AB8" i="5" s="1"/>
  <c r="F29" i="2"/>
  <c r="B8" i="1"/>
  <c r="E6" i="3"/>
  <c r="E10" i="3" s="1"/>
  <c r="C7" i="5"/>
  <c r="AB7" i="5" s="1"/>
  <c r="C6" i="5"/>
  <c r="E20" i="3"/>
  <c r="F20" i="3" s="1"/>
  <c r="B10" i="4"/>
  <c r="C11" i="5"/>
  <c r="AB11" i="5" s="1"/>
  <c r="C10" i="5"/>
  <c r="AB10" i="5" s="1"/>
  <c r="C18" i="3"/>
  <c r="E18" i="3" s="1"/>
  <c r="F18" i="3" s="1"/>
  <c r="F9" i="3"/>
  <c r="C7" i="3"/>
  <c r="H6" i="1"/>
  <c r="G9" i="3"/>
  <c r="E7" i="3"/>
  <c r="E6" i="5"/>
  <c r="F30" i="2"/>
  <c r="E9" i="3"/>
  <c r="B8" i="4"/>
  <c r="F6" i="3"/>
  <c r="H9" i="3"/>
  <c r="C19" i="3"/>
  <c r="C21" i="3"/>
  <c r="B29" i="4"/>
  <c r="B37" i="4" s="1"/>
  <c r="C9" i="3"/>
  <c r="F59" i="4"/>
  <c r="D59" i="4"/>
  <c r="C59" i="4"/>
  <c r="M59" i="4"/>
  <c r="L59" i="4"/>
  <c r="K59" i="4"/>
  <c r="G59" i="4"/>
  <c r="E59" i="4"/>
  <c r="D19" i="3"/>
  <c r="F7" i="3"/>
  <c r="B45" i="4"/>
  <c r="E7" i="5"/>
  <c r="E12" i="5"/>
  <c r="G30" i="2"/>
  <c r="G7" i="3"/>
  <c r="H7" i="3"/>
  <c r="B59" i="4"/>
  <c r="E8" i="5"/>
  <c r="C9" i="5"/>
  <c r="AB9" i="5" s="1"/>
  <c r="E9" i="5"/>
  <c r="D8" i="1"/>
  <c r="H59" i="4"/>
  <c r="F40" i="4"/>
  <c r="D40" i="4"/>
  <c r="C40" i="4"/>
  <c r="M40" i="4"/>
  <c r="L40" i="4"/>
  <c r="K40" i="4"/>
  <c r="H40" i="4"/>
  <c r="E11" i="5"/>
  <c r="E13" i="5"/>
  <c r="E14" i="5"/>
  <c r="D21" i="4"/>
  <c r="C21" i="4"/>
  <c r="M21" i="4"/>
  <c r="L21" i="4"/>
  <c r="K21" i="4"/>
  <c r="E21" i="4"/>
  <c r="G40" i="4"/>
  <c r="E10" i="5"/>
  <c r="D12" i="6"/>
  <c r="G20" i="3" l="1"/>
  <c r="E8" i="3"/>
  <c r="B18" i="4"/>
  <c r="AZ10" i="5"/>
  <c r="AN10" i="5"/>
  <c r="N9" i="5"/>
  <c r="M9" i="5"/>
  <c r="B17" i="4"/>
  <c r="B12" i="4"/>
  <c r="AN7" i="5"/>
  <c r="AZ7" i="5"/>
  <c r="B46" i="4"/>
  <c r="B47" i="4"/>
  <c r="B48" i="4"/>
  <c r="F57" i="4"/>
  <c r="F38" i="4"/>
  <c r="D57" i="4"/>
  <c r="D38" i="4"/>
  <c r="D19" i="4"/>
  <c r="B6" i="6"/>
  <c r="C57" i="4"/>
  <c r="C38" i="4"/>
  <c r="C19" i="4"/>
  <c r="M57" i="4"/>
  <c r="M38" i="4"/>
  <c r="M19" i="4"/>
  <c r="L57" i="4"/>
  <c r="L38" i="4"/>
  <c r="L19" i="4"/>
  <c r="K57" i="4"/>
  <c r="K38" i="4"/>
  <c r="K19" i="4"/>
  <c r="G38" i="4"/>
  <c r="H31" i="2"/>
  <c r="B9" i="6" s="1"/>
  <c r="F16" i="2"/>
  <c r="B32" i="2" s="1"/>
  <c r="G57" i="4"/>
  <c r="G19" i="4"/>
  <c r="E57" i="4"/>
  <c r="H38" i="4"/>
  <c r="G16" i="2"/>
  <c r="C32" i="2" s="1"/>
  <c r="H32" i="2" s="1"/>
  <c r="E38" i="4"/>
  <c r="E11" i="3"/>
  <c r="C8" i="3"/>
  <c r="C11" i="3"/>
  <c r="H29" i="2"/>
  <c r="B7" i="6" s="1"/>
  <c r="J19" i="4"/>
  <c r="E32" i="2"/>
  <c r="I19" i="4"/>
  <c r="E31" i="2"/>
  <c r="H19" i="4"/>
  <c r="E29" i="2"/>
  <c r="J6" i="1"/>
  <c r="J57" i="4"/>
  <c r="J38" i="4"/>
  <c r="E30" i="2"/>
  <c r="I57" i="4"/>
  <c r="I38" i="4"/>
  <c r="F19" i="4"/>
  <c r="C10" i="3"/>
  <c r="L7" i="1" s="1"/>
  <c r="H30" i="2"/>
  <c r="B8" i="6" s="1"/>
  <c r="H57" i="4"/>
  <c r="B38" i="4"/>
  <c r="E19" i="4"/>
  <c r="B19" i="4"/>
  <c r="F11" i="3"/>
  <c r="B57" i="4"/>
  <c r="G11" i="3"/>
  <c r="N11" i="5"/>
  <c r="M11" i="5"/>
  <c r="G10" i="3"/>
  <c r="G8" i="3"/>
  <c r="H19" i="3"/>
  <c r="G19" i="3"/>
  <c r="AN11" i="5"/>
  <c r="AZ11" i="5"/>
  <c r="N6" i="5"/>
  <c r="M6" i="5"/>
  <c r="B12" i="1"/>
  <c r="E19" i="3"/>
  <c r="F19" i="3" s="1"/>
  <c r="N7" i="5"/>
  <c r="M7" i="5"/>
  <c r="AZ8" i="5"/>
  <c r="AN8" i="5"/>
  <c r="N12" i="5"/>
  <c r="M12" i="5"/>
  <c r="AN12" i="5"/>
  <c r="AZ12" i="5"/>
  <c r="N13" i="5"/>
  <c r="M13" i="5"/>
  <c r="AZ13" i="5"/>
  <c r="AN13" i="5"/>
  <c r="AN14" i="5"/>
  <c r="AZ14" i="5"/>
  <c r="N14" i="5"/>
  <c r="M14" i="5"/>
  <c r="B14" i="1"/>
  <c r="F10" i="3"/>
  <c r="F8" i="3"/>
  <c r="N8" i="5"/>
  <c r="M8" i="5"/>
  <c r="G18" i="3"/>
  <c r="AZ9" i="5"/>
  <c r="AN9" i="5"/>
  <c r="B36" i="4"/>
  <c r="AB6" i="5"/>
  <c r="N10" i="5"/>
  <c r="M10" i="5"/>
  <c r="B13" i="1"/>
  <c r="B31" i="4"/>
  <c r="Q13" i="5" l="1"/>
  <c r="Q7" i="5"/>
  <c r="F6" i="6"/>
  <c r="D6" i="6"/>
  <c r="B19" i="1"/>
  <c r="B16" i="4"/>
  <c r="B14" i="4"/>
  <c r="B15" i="4" s="1"/>
  <c r="C6" i="4" s="1"/>
  <c r="B20" i="4"/>
  <c r="B13" i="4"/>
  <c r="F9" i="6"/>
  <c r="D9" i="6"/>
  <c r="F7" i="6"/>
  <c r="D7" i="6"/>
  <c r="B55" i="4"/>
  <c r="B50" i="4"/>
  <c r="Q14" i="5"/>
  <c r="Q12" i="5"/>
  <c r="AN6" i="5"/>
  <c r="AZ6" i="5"/>
  <c r="Q11" i="5"/>
  <c r="Q8" i="5"/>
  <c r="Q10" i="5"/>
  <c r="B32" i="4"/>
  <c r="B33" i="4"/>
  <c r="B34" i="4" s="1"/>
  <c r="C25" i="4" s="1"/>
  <c r="C19" i="1"/>
  <c r="B39" i="4"/>
  <c r="B35" i="4"/>
  <c r="D21" i="3"/>
  <c r="G32" i="2"/>
  <c r="F32" i="2"/>
  <c r="H6" i="3"/>
  <c r="Q9" i="5"/>
  <c r="D8" i="6"/>
  <c r="F8" i="6"/>
  <c r="B56" i="4"/>
  <c r="F3" i="6" l="1"/>
  <c r="L6" i="1" s="1"/>
  <c r="AC9" i="5"/>
  <c r="C7" i="4"/>
  <c r="H21" i="3"/>
  <c r="G21" i="3"/>
  <c r="E21" i="3"/>
  <c r="F21" i="3" s="1"/>
  <c r="Q6" i="5"/>
  <c r="AC7" i="5"/>
  <c r="AC14" i="5"/>
  <c r="AC11" i="5"/>
  <c r="AC12" i="5"/>
  <c r="AC10" i="5"/>
  <c r="AC8" i="5"/>
  <c r="B51" i="4"/>
  <c r="B52" i="4"/>
  <c r="B53" i="4" s="1"/>
  <c r="C44" i="4" s="1"/>
  <c r="D19" i="1"/>
  <c r="B58" i="4"/>
  <c r="B54" i="4"/>
  <c r="C26" i="4"/>
  <c r="AC13" i="5"/>
  <c r="H10" i="3"/>
  <c r="H8" i="3"/>
  <c r="H11" i="3"/>
  <c r="BA7" i="5" l="1"/>
  <c r="AO7" i="5"/>
  <c r="BA12" i="5"/>
  <c r="AO12" i="5"/>
  <c r="BA13" i="5"/>
  <c r="AO13" i="5"/>
  <c r="C29" i="4"/>
  <c r="C28" i="4"/>
  <c r="C27" i="4"/>
  <c r="AC6" i="5"/>
  <c r="C10" i="4"/>
  <c r="C9" i="4"/>
  <c r="C8" i="4"/>
  <c r="BA9" i="5"/>
  <c r="AO9" i="5"/>
  <c r="BA11" i="5"/>
  <c r="AO11" i="5"/>
  <c r="BA14" i="5"/>
  <c r="AO14" i="5"/>
  <c r="BA8" i="5"/>
  <c r="AO8" i="5"/>
  <c r="BA10" i="5"/>
  <c r="AO10" i="5"/>
  <c r="C45" i="4"/>
  <c r="C36" i="4" l="1"/>
  <c r="C31" i="4"/>
  <c r="R13" i="5"/>
  <c r="R14" i="5"/>
  <c r="C48" i="4"/>
  <c r="C47" i="4"/>
  <c r="C46" i="4"/>
  <c r="R10" i="5"/>
  <c r="C17" i="4"/>
  <c r="C12" i="4"/>
  <c r="R12" i="5"/>
  <c r="C37" i="4"/>
  <c r="R11" i="5"/>
  <c r="R9" i="5"/>
  <c r="R8" i="5"/>
  <c r="C18" i="4"/>
  <c r="BA6" i="5"/>
  <c r="AO6" i="5"/>
  <c r="R7" i="5"/>
  <c r="C55" i="4" l="1"/>
  <c r="C50" i="4"/>
  <c r="AD7" i="5"/>
  <c r="AD11" i="5"/>
  <c r="C56" i="4"/>
  <c r="AD12" i="5"/>
  <c r="R6" i="5"/>
  <c r="AD14" i="5"/>
  <c r="AD8" i="5"/>
  <c r="AD13" i="5"/>
  <c r="C20" i="4"/>
  <c r="C14" i="4"/>
  <c r="C15" i="4" s="1"/>
  <c r="D6" i="4" s="1"/>
  <c r="C13" i="4"/>
  <c r="B20" i="1"/>
  <c r="C16" i="4"/>
  <c r="AD10" i="5"/>
  <c r="AD9" i="5"/>
  <c r="C39" i="4"/>
  <c r="C33" i="4"/>
  <c r="C34" i="4" s="1"/>
  <c r="D25" i="4" s="1"/>
  <c r="C32" i="4"/>
  <c r="C20" i="1"/>
  <c r="C35" i="4"/>
  <c r="BB14" i="5" l="1"/>
  <c r="AP14" i="5"/>
  <c r="AD6" i="5"/>
  <c r="BB10" i="5"/>
  <c r="AP10" i="5"/>
  <c r="D7" i="4"/>
  <c r="BB12" i="5"/>
  <c r="AP12" i="5"/>
  <c r="D26" i="4"/>
  <c r="BB13" i="5"/>
  <c r="AP13" i="5"/>
  <c r="BB11" i="5"/>
  <c r="AP11" i="5"/>
  <c r="BB8" i="5"/>
  <c r="AP8" i="5"/>
  <c r="BB7" i="5"/>
  <c r="AP7" i="5"/>
  <c r="BB9" i="5"/>
  <c r="AP9" i="5"/>
  <c r="C58" i="4"/>
  <c r="C52" i="4"/>
  <c r="C53" i="4" s="1"/>
  <c r="D44" i="4" s="1"/>
  <c r="C51" i="4"/>
  <c r="D20" i="1"/>
  <c r="C54" i="4"/>
  <c r="D45" i="4" l="1"/>
  <c r="S10" i="5"/>
  <c r="BB6" i="5"/>
  <c r="AP6" i="5"/>
  <c r="S8" i="5"/>
  <c r="D10" i="4"/>
  <c r="D8" i="4"/>
  <c r="D9" i="4"/>
  <c r="S14" i="5"/>
  <c r="S11" i="5"/>
  <c r="S9" i="5"/>
  <c r="S13" i="5"/>
  <c r="D29" i="4"/>
  <c r="D28" i="4"/>
  <c r="D27" i="4"/>
  <c r="S12" i="5"/>
  <c r="S7" i="5"/>
  <c r="D18" i="4" l="1"/>
  <c r="AE12" i="5"/>
  <c r="AE13" i="5"/>
  <c r="AE8" i="5"/>
  <c r="AE14" i="5"/>
  <c r="AE7" i="5"/>
  <c r="AE9" i="5"/>
  <c r="AE11" i="5"/>
  <c r="S6" i="5"/>
  <c r="AE10" i="5"/>
  <c r="D36" i="4"/>
  <c r="D31" i="4"/>
  <c r="D37" i="4"/>
  <c r="D17" i="4"/>
  <c r="D12" i="4"/>
  <c r="D48" i="4"/>
  <c r="D47" i="4"/>
  <c r="D46" i="4"/>
  <c r="D39" i="4" l="1"/>
  <c r="D33" i="4"/>
  <c r="D34" i="4" s="1"/>
  <c r="E25" i="4" s="1"/>
  <c r="D32" i="4"/>
  <c r="C21" i="1"/>
  <c r="D35" i="4"/>
  <c r="BC9" i="5"/>
  <c r="AQ9" i="5"/>
  <c r="AQ8" i="5"/>
  <c r="BC8" i="5"/>
  <c r="D20" i="4"/>
  <c r="B21" i="1"/>
  <c r="D14" i="4"/>
  <c r="D15" i="4" s="1"/>
  <c r="E6" i="4" s="1"/>
  <c r="D13" i="4"/>
  <c r="D16" i="4"/>
  <c r="BC13" i="5"/>
  <c r="AQ13" i="5"/>
  <c r="AE6" i="5"/>
  <c r="AQ14" i="5"/>
  <c r="BC14" i="5"/>
  <c r="AQ11" i="5"/>
  <c r="BC11" i="5"/>
  <c r="BC7" i="5"/>
  <c r="AQ7" i="5"/>
  <c r="AQ10" i="5"/>
  <c r="BC10" i="5"/>
  <c r="D55" i="4"/>
  <c r="D50" i="4"/>
  <c r="BC12" i="5"/>
  <c r="AQ12" i="5"/>
  <c r="D56" i="4"/>
  <c r="T12" i="5" l="1"/>
  <c r="T9" i="5"/>
  <c r="T8" i="5"/>
  <c r="D58" i="4"/>
  <c r="D52" i="4"/>
  <c r="D53" i="4" s="1"/>
  <c r="E44" i="4" s="1"/>
  <c r="D51" i="4"/>
  <c r="D21" i="1"/>
  <c r="D54" i="4"/>
  <c r="T13" i="5"/>
  <c r="T7" i="5"/>
  <c r="T14" i="5"/>
  <c r="T11" i="5"/>
  <c r="E7" i="4"/>
  <c r="E26" i="4"/>
  <c r="AQ6" i="5"/>
  <c r="BC6" i="5"/>
  <c r="T10" i="5"/>
  <c r="E10" i="4" l="1"/>
  <c r="E9" i="4"/>
  <c r="E8" i="4"/>
  <c r="AF8" i="5"/>
  <c r="E45" i="4"/>
  <c r="AF10" i="5"/>
  <c r="AF7" i="5"/>
  <c r="AF12" i="5"/>
  <c r="AF11" i="5"/>
  <c r="AF14" i="5"/>
  <c r="AF9" i="5"/>
  <c r="T6" i="5"/>
  <c r="AF13" i="5"/>
  <c r="E27" i="4"/>
  <c r="E29" i="4"/>
  <c r="E28" i="4"/>
  <c r="E37" i="4" l="1"/>
  <c r="E48" i="4"/>
  <c r="E46" i="4"/>
  <c r="E47" i="4"/>
  <c r="BD9" i="5"/>
  <c r="AR9" i="5"/>
  <c r="BD13" i="5"/>
  <c r="AR13" i="5"/>
  <c r="BD14" i="5"/>
  <c r="AR14" i="5"/>
  <c r="BD11" i="5"/>
  <c r="AR11" i="5"/>
  <c r="E12" i="4"/>
  <c r="E17" i="4"/>
  <c r="AF6" i="5"/>
  <c r="BD7" i="5"/>
  <c r="AR7" i="5"/>
  <c r="BD10" i="5"/>
  <c r="AR10" i="5"/>
  <c r="BD8" i="5"/>
  <c r="AR8" i="5"/>
  <c r="E31" i="4"/>
  <c r="E36" i="4"/>
  <c r="BD12" i="5"/>
  <c r="AR12" i="5"/>
  <c r="E18" i="4"/>
  <c r="U7" i="5" l="1"/>
  <c r="U13" i="5"/>
  <c r="U10" i="5"/>
  <c r="BD6" i="5"/>
  <c r="AR6" i="5"/>
  <c r="E39" i="4"/>
  <c r="C22" i="1"/>
  <c r="E33" i="4"/>
  <c r="E34" i="4" s="1"/>
  <c r="F25" i="4" s="1"/>
  <c r="E32" i="4"/>
  <c r="E35" i="4"/>
  <c r="E55" i="4"/>
  <c r="E50" i="4"/>
  <c r="U14" i="5"/>
  <c r="U12" i="5"/>
  <c r="E13" i="4"/>
  <c r="E20" i="4"/>
  <c r="B22" i="1"/>
  <c r="E14" i="4"/>
  <c r="E15" i="4" s="1"/>
  <c r="F6" i="4" s="1"/>
  <c r="E16" i="4"/>
  <c r="U9" i="5"/>
  <c r="U8" i="5"/>
  <c r="U11" i="5"/>
  <c r="E56" i="4"/>
  <c r="U6" i="5" l="1"/>
  <c r="F13" i="5"/>
  <c r="AG13" i="5"/>
  <c r="F10" i="5"/>
  <c r="AG10" i="5"/>
  <c r="E51" i="4"/>
  <c r="E58" i="4"/>
  <c r="E52" i="4"/>
  <c r="E53" i="4" s="1"/>
  <c r="F44" i="4" s="1"/>
  <c r="D22" i="1"/>
  <c r="E54" i="4"/>
  <c r="F26" i="4"/>
  <c r="F11" i="5"/>
  <c r="AG11" i="5"/>
  <c r="F14" i="5"/>
  <c r="AG14" i="5"/>
  <c r="F8" i="5"/>
  <c r="AG8" i="5"/>
  <c r="F9" i="5"/>
  <c r="AG9" i="5"/>
  <c r="F7" i="5"/>
  <c r="AG7" i="5"/>
  <c r="F7" i="4"/>
  <c r="F12" i="5"/>
  <c r="AG12" i="5"/>
  <c r="F45" i="4" l="1"/>
  <c r="BE11" i="5"/>
  <c r="V11" i="5" s="1"/>
  <c r="AS11" i="5"/>
  <c r="BE13" i="5"/>
  <c r="V13" i="5" s="1"/>
  <c r="AS13" i="5"/>
  <c r="BE8" i="5"/>
  <c r="V8" i="5" s="1"/>
  <c r="AS8" i="5"/>
  <c r="BE12" i="5"/>
  <c r="V12" i="5" s="1"/>
  <c r="AS12" i="5"/>
  <c r="BE14" i="5"/>
  <c r="V14" i="5" s="1"/>
  <c r="AS14" i="5"/>
  <c r="AS7" i="5"/>
  <c r="BE7" i="5"/>
  <c r="V7" i="5" s="1"/>
  <c r="F29" i="4"/>
  <c r="F27" i="4"/>
  <c r="F28" i="4"/>
  <c r="F6" i="5"/>
  <c r="AG6" i="5"/>
  <c r="F8" i="4"/>
  <c r="F9" i="4"/>
  <c r="F10" i="4"/>
  <c r="BE10" i="5"/>
  <c r="V10" i="5" s="1"/>
  <c r="AS10" i="5"/>
  <c r="BE9" i="5"/>
  <c r="V9" i="5" s="1"/>
  <c r="AS9" i="5"/>
  <c r="F18" i="4" l="1"/>
  <c r="AH10" i="5"/>
  <c r="AH12" i="5"/>
  <c r="AH13" i="5"/>
  <c r="F48" i="4"/>
  <c r="F47" i="4"/>
  <c r="F46" i="4"/>
  <c r="F12" i="4"/>
  <c r="F17" i="4"/>
  <c r="F36" i="4"/>
  <c r="F31" i="4"/>
  <c r="BE6" i="5"/>
  <c r="V6" i="5" s="1"/>
  <c r="AS6" i="5"/>
  <c r="F37" i="4"/>
  <c r="AH11" i="5"/>
  <c r="AH14" i="5"/>
  <c r="AH8" i="5"/>
  <c r="AH9" i="5"/>
  <c r="AH7" i="5"/>
  <c r="AT9" i="5" l="1"/>
  <c r="BF9" i="5"/>
  <c r="W9" i="5" s="1"/>
  <c r="F56" i="4"/>
  <c r="BF13" i="5"/>
  <c r="W13" i="5" s="1"/>
  <c r="AT13" i="5"/>
  <c r="BF8" i="5"/>
  <c r="W8" i="5" s="1"/>
  <c r="AT8" i="5"/>
  <c r="F20" i="4"/>
  <c r="B23" i="1"/>
  <c r="F14" i="4"/>
  <c r="F15" i="4" s="1"/>
  <c r="G6" i="4" s="1"/>
  <c r="F13" i="4"/>
  <c r="F16" i="4"/>
  <c r="F55" i="4"/>
  <c r="F50" i="4"/>
  <c r="BF12" i="5"/>
  <c r="W12" i="5" s="1"/>
  <c r="AT12" i="5"/>
  <c r="BF14" i="5"/>
  <c r="W14" i="5" s="1"/>
  <c r="AT14" i="5"/>
  <c r="BF11" i="5"/>
  <c r="W11" i="5" s="1"/>
  <c r="AT11" i="5"/>
  <c r="AH6" i="5"/>
  <c r="AT7" i="5"/>
  <c r="BF7" i="5"/>
  <c r="W7" i="5" s="1"/>
  <c r="F39" i="4"/>
  <c r="C23" i="1"/>
  <c r="F33" i="4"/>
  <c r="F34" i="4" s="1"/>
  <c r="G25" i="4" s="1"/>
  <c r="F32" i="4"/>
  <c r="F35" i="4"/>
  <c r="AT10" i="5"/>
  <c r="BF10" i="5"/>
  <c r="W10" i="5" s="1"/>
  <c r="AI7" i="5" l="1"/>
  <c r="AI11" i="5"/>
  <c r="G7" i="4"/>
  <c r="AI8" i="5"/>
  <c r="AI14" i="5"/>
  <c r="AI10" i="5"/>
  <c r="AI13" i="5"/>
  <c r="BF6" i="5"/>
  <c r="W6" i="5" s="1"/>
  <c r="AT6" i="5"/>
  <c r="G26" i="4"/>
  <c r="AI12" i="5"/>
  <c r="AI9" i="5"/>
  <c r="F58" i="4"/>
  <c r="F52" i="4"/>
  <c r="F53" i="4" s="1"/>
  <c r="G44" i="4" s="1"/>
  <c r="F51" i="4"/>
  <c r="D23" i="1"/>
  <c r="F54" i="4"/>
  <c r="BG12" i="5" l="1"/>
  <c r="X12" i="5" s="1"/>
  <c r="AU12" i="5"/>
  <c r="AU9" i="5"/>
  <c r="BG9" i="5"/>
  <c r="X9" i="5" s="1"/>
  <c r="G28" i="4"/>
  <c r="G27" i="4"/>
  <c r="G29" i="4"/>
  <c r="G37" i="4" s="1"/>
  <c r="BG8" i="5"/>
  <c r="X8" i="5" s="1"/>
  <c r="AU8" i="5"/>
  <c r="BG14" i="5"/>
  <c r="X14" i="5" s="1"/>
  <c r="AU14" i="5"/>
  <c r="AI6" i="5"/>
  <c r="G8" i="4"/>
  <c r="G9" i="4"/>
  <c r="G10" i="4"/>
  <c r="BG13" i="5"/>
  <c r="X13" i="5" s="1"/>
  <c r="AU13" i="5"/>
  <c r="BG11" i="5"/>
  <c r="X11" i="5" s="1"/>
  <c r="AU11" i="5"/>
  <c r="BG7" i="5"/>
  <c r="X7" i="5" s="1"/>
  <c r="AU7" i="5"/>
  <c r="G45" i="4"/>
  <c r="BG10" i="5"/>
  <c r="X10" i="5" s="1"/>
  <c r="AU10" i="5"/>
  <c r="G18" i="4" l="1"/>
  <c r="G47" i="4"/>
  <c r="G48" i="4"/>
  <c r="G46" i="4"/>
  <c r="BG6" i="5"/>
  <c r="X6" i="5" s="1"/>
  <c r="AU6" i="5"/>
  <c r="G36" i="4"/>
  <c r="G31" i="4"/>
  <c r="AJ8" i="5"/>
  <c r="AJ13" i="5"/>
  <c r="AJ9" i="5"/>
  <c r="AJ11" i="5"/>
  <c r="AJ7" i="5"/>
  <c r="AJ10" i="5"/>
  <c r="G12" i="4"/>
  <c r="G17" i="4"/>
  <c r="AJ14" i="5"/>
  <c r="AJ12" i="5"/>
  <c r="BH13" i="5" l="1"/>
  <c r="Y13" i="5" s="1"/>
  <c r="AV13" i="5"/>
  <c r="BH10" i="5"/>
  <c r="Y10" i="5" s="1"/>
  <c r="AV10" i="5"/>
  <c r="AJ6" i="5"/>
  <c r="BH14" i="5"/>
  <c r="Y14" i="5" s="1"/>
  <c r="AV14" i="5"/>
  <c r="G20" i="4"/>
  <c r="B24" i="1"/>
  <c r="G13" i="4"/>
  <c r="G14" i="4"/>
  <c r="G15" i="4" s="1"/>
  <c r="H6" i="4" s="1"/>
  <c r="G16" i="4"/>
  <c r="BH11" i="5"/>
  <c r="Y11" i="5" s="1"/>
  <c r="AV11" i="5"/>
  <c r="G50" i="4"/>
  <c r="G55" i="4"/>
  <c r="BH8" i="5"/>
  <c r="Y8" i="5" s="1"/>
  <c r="AV8" i="5"/>
  <c r="G56" i="4"/>
  <c r="G39" i="4"/>
  <c r="G33" i="4"/>
  <c r="G34" i="4" s="1"/>
  <c r="H25" i="4" s="1"/>
  <c r="G32" i="4"/>
  <c r="C24" i="1"/>
  <c r="G35" i="4"/>
  <c r="AV7" i="5"/>
  <c r="BH7" i="5"/>
  <c r="Y7" i="5" s="1"/>
  <c r="BH12" i="5"/>
  <c r="Y12" i="5" s="1"/>
  <c r="AV12" i="5"/>
  <c r="BH9" i="5"/>
  <c r="Y9" i="5" s="1"/>
  <c r="AV9" i="5"/>
  <c r="H26" i="4" l="1"/>
  <c r="AK9" i="5"/>
  <c r="G58" i="4"/>
  <c r="G52" i="4"/>
  <c r="G53" i="4" s="1"/>
  <c r="H44" i="4" s="1"/>
  <c r="G51" i="4"/>
  <c r="D24" i="1"/>
  <c r="G54" i="4"/>
  <c r="H7" i="4"/>
  <c r="AK14" i="5"/>
  <c r="AK10" i="5"/>
  <c r="BH6" i="5"/>
  <c r="Y6" i="5" s="1"/>
  <c r="AV6" i="5"/>
  <c r="AK12" i="5"/>
  <c r="AK7" i="5"/>
  <c r="AK11" i="5"/>
  <c r="AK8" i="5"/>
  <c r="AK13" i="5"/>
  <c r="H45" i="4" l="1"/>
  <c r="BI13" i="5"/>
  <c r="Z13" i="5" s="1"/>
  <c r="AW13" i="5"/>
  <c r="BI11" i="5"/>
  <c r="Z11" i="5" s="1"/>
  <c r="AW11" i="5"/>
  <c r="BI9" i="5"/>
  <c r="Z9" i="5" s="1"/>
  <c r="AW9" i="5"/>
  <c r="H8" i="4"/>
  <c r="H9" i="4"/>
  <c r="H10" i="4"/>
  <c r="BI12" i="5"/>
  <c r="Z12" i="5" s="1"/>
  <c r="AW12" i="5"/>
  <c r="AK6" i="5"/>
  <c r="BI10" i="5"/>
  <c r="Z10" i="5" s="1"/>
  <c r="AW10" i="5"/>
  <c r="BI7" i="5"/>
  <c r="Z7" i="5" s="1"/>
  <c r="AW7" i="5"/>
  <c r="H27" i="4"/>
  <c r="H28" i="4"/>
  <c r="H29" i="4"/>
  <c r="BI8" i="5"/>
  <c r="Z8" i="5" s="1"/>
  <c r="AW8" i="5"/>
  <c r="BI14" i="5"/>
  <c r="Z14" i="5" s="1"/>
  <c r="AW14" i="5"/>
  <c r="H37" i="4" l="1"/>
  <c r="H18" i="4"/>
  <c r="H36" i="4"/>
  <c r="H31" i="4"/>
  <c r="AL8" i="5"/>
  <c r="AL9" i="5"/>
  <c r="AL10" i="5"/>
  <c r="H17" i="4"/>
  <c r="H12" i="4"/>
  <c r="BI6" i="5"/>
  <c r="Z6" i="5" s="1"/>
  <c r="AW6" i="5"/>
  <c r="AL13" i="5"/>
  <c r="AL12" i="5"/>
  <c r="AL7" i="5"/>
  <c r="AL11" i="5"/>
  <c r="AL14" i="5"/>
  <c r="H47" i="4"/>
  <c r="H46" i="4"/>
  <c r="H48" i="4"/>
  <c r="H56" i="4" l="1"/>
  <c r="AL6" i="5"/>
  <c r="BJ9" i="5"/>
  <c r="AA9" i="5" s="1"/>
  <c r="AX9" i="5"/>
  <c r="BJ14" i="5"/>
  <c r="AA14" i="5" s="1"/>
  <c r="AX14" i="5"/>
  <c r="BJ10" i="5"/>
  <c r="AA10" i="5" s="1"/>
  <c r="AX10" i="5"/>
  <c r="BJ12" i="5"/>
  <c r="AA12" i="5" s="1"/>
  <c r="AX12" i="5"/>
  <c r="BJ13" i="5"/>
  <c r="AA13" i="5" s="1"/>
  <c r="AX13" i="5"/>
  <c r="H33" i="4"/>
  <c r="H34" i="4" s="1"/>
  <c r="I25" i="4" s="1"/>
  <c r="H39" i="4"/>
  <c r="H32" i="4"/>
  <c r="C25" i="1"/>
  <c r="H35" i="4"/>
  <c r="BJ7" i="5"/>
  <c r="AA7" i="5" s="1"/>
  <c r="AX7" i="5"/>
  <c r="B25" i="1"/>
  <c r="H13" i="4"/>
  <c r="H20" i="4"/>
  <c r="H14" i="4"/>
  <c r="H15" i="4" s="1"/>
  <c r="I6" i="4" s="1"/>
  <c r="H16" i="4"/>
  <c r="BJ11" i="5"/>
  <c r="AA11" i="5" s="1"/>
  <c r="AX11" i="5"/>
  <c r="BJ8" i="5"/>
  <c r="AA8" i="5" s="1"/>
  <c r="AX8" i="5"/>
  <c r="H50" i="4"/>
  <c r="H55" i="4"/>
  <c r="AM10" i="5" l="1"/>
  <c r="L10" i="5"/>
  <c r="G10" i="5"/>
  <c r="AM7" i="5"/>
  <c r="G7" i="5"/>
  <c r="L7" i="5"/>
  <c r="I7" i="4"/>
  <c r="H58" i="4"/>
  <c r="H52" i="4"/>
  <c r="H53" i="4" s="1"/>
  <c r="I44" i="4" s="1"/>
  <c r="H51" i="4"/>
  <c r="D25" i="1"/>
  <c r="H54" i="4"/>
  <c r="AM12" i="5"/>
  <c r="L12" i="5"/>
  <c r="G12" i="5"/>
  <c r="AM8" i="5"/>
  <c r="G8" i="5"/>
  <c r="L8" i="5"/>
  <c r="AM9" i="5"/>
  <c r="G9" i="5"/>
  <c r="L9" i="5"/>
  <c r="AM13" i="5"/>
  <c r="G13" i="5"/>
  <c r="L13" i="5"/>
  <c r="BJ6" i="5"/>
  <c r="AA6" i="5" s="1"/>
  <c r="AX6" i="5"/>
  <c r="AM14" i="5"/>
  <c r="G14" i="5"/>
  <c r="L14" i="5"/>
  <c r="AM11" i="5"/>
  <c r="L11" i="5"/>
  <c r="G11" i="5"/>
  <c r="I26" i="4"/>
  <c r="I45" i="4" l="1"/>
  <c r="H11" i="5"/>
  <c r="BK11" i="5"/>
  <c r="K11" i="5" s="1"/>
  <c r="AY11" i="5"/>
  <c r="J11" i="5" s="1"/>
  <c r="I11" i="5"/>
  <c r="O11" i="5" s="1"/>
  <c r="H13" i="5"/>
  <c r="BK13" i="5"/>
  <c r="K13" i="5" s="1"/>
  <c r="AY13" i="5"/>
  <c r="J13" i="5" s="1"/>
  <c r="I13" i="5"/>
  <c r="O13" i="5" s="1"/>
  <c r="H8" i="5"/>
  <c r="BK8" i="5"/>
  <c r="K8" i="5" s="1"/>
  <c r="AY8" i="5"/>
  <c r="J8" i="5" s="1"/>
  <c r="I8" i="5"/>
  <c r="O8" i="5" s="1"/>
  <c r="H14" i="5"/>
  <c r="BK14" i="5"/>
  <c r="K14" i="5" s="1"/>
  <c r="AY14" i="5"/>
  <c r="J14" i="5" s="1"/>
  <c r="I14" i="5"/>
  <c r="H7" i="5"/>
  <c r="BK7" i="5"/>
  <c r="K7" i="5" s="1"/>
  <c r="AY7" i="5"/>
  <c r="J7" i="5" s="1"/>
  <c r="I7" i="5"/>
  <c r="O7" i="5" s="1"/>
  <c r="I27" i="4"/>
  <c r="I29" i="4"/>
  <c r="I37" i="4" s="1"/>
  <c r="I28" i="4"/>
  <c r="B37" i="1"/>
  <c r="D14" i="1"/>
  <c r="AM6" i="5"/>
  <c r="L6" i="5"/>
  <c r="G6" i="5"/>
  <c r="D13" i="1"/>
  <c r="B36" i="1"/>
  <c r="H12" i="5"/>
  <c r="BK12" i="5"/>
  <c r="K12" i="5" s="1"/>
  <c r="AY12" i="5"/>
  <c r="J12" i="5" s="1"/>
  <c r="I12" i="5"/>
  <c r="O12" i="5" s="1"/>
  <c r="H9" i="5"/>
  <c r="BK9" i="5"/>
  <c r="K9" i="5" s="1"/>
  <c r="AY9" i="5"/>
  <c r="J9" i="5" s="1"/>
  <c r="I9" i="5"/>
  <c r="O9" i="5" s="1"/>
  <c r="I8" i="4"/>
  <c r="I9" i="4"/>
  <c r="I10" i="4"/>
  <c r="H10" i="5"/>
  <c r="BK10" i="5"/>
  <c r="K10" i="5" s="1"/>
  <c r="AY10" i="5"/>
  <c r="J10" i="5" s="1"/>
  <c r="I10" i="5"/>
  <c r="I18" i="4" l="1"/>
  <c r="B35" i="1"/>
  <c r="D12" i="1"/>
  <c r="O14" i="5"/>
  <c r="D37" i="1"/>
  <c r="F14" i="1"/>
  <c r="I36" i="4"/>
  <c r="I31" i="4"/>
  <c r="O10" i="5"/>
  <c r="F13" i="1"/>
  <c r="D36" i="1"/>
  <c r="I17" i="4"/>
  <c r="I12" i="4"/>
  <c r="C37" i="1"/>
  <c r="E14" i="1"/>
  <c r="E13" i="1"/>
  <c r="C36" i="1"/>
  <c r="H6" i="5"/>
  <c r="BK6" i="5"/>
  <c r="K6" i="5" s="1"/>
  <c r="AY6" i="5"/>
  <c r="J6" i="5" s="1"/>
  <c r="I6" i="5"/>
  <c r="I46" i="4"/>
  <c r="I48" i="4"/>
  <c r="I47" i="4"/>
  <c r="I56" i="4" l="1"/>
  <c r="I50" i="4"/>
  <c r="I55" i="4"/>
  <c r="E12" i="1"/>
  <c r="C35" i="1"/>
  <c r="F7" i="1"/>
  <c r="D7" i="1"/>
  <c r="B7" i="1"/>
  <c r="I33" i="4"/>
  <c r="I34" i="4" s="1"/>
  <c r="J25" i="4" s="1"/>
  <c r="I39" i="4"/>
  <c r="I32" i="4"/>
  <c r="C26" i="1"/>
  <c r="I35" i="4"/>
  <c r="I13" i="4"/>
  <c r="I20" i="4"/>
  <c r="I14" i="4"/>
  <c r="I15" i="4" s="1"/>
  <c r="J6" i="4" s="1"/>
  <c r="B26" i="1"/>
  <c r="I16" i="4"/>
  <c r="O6" i="5"/>
  <c r="H7" i="1"/>
  <c r="F12" i="1"/>
  <c r="D35" i="1"/>
  <c r="J7" i="4" l="1"/>
  <c r="J26" i="4"/>
  <c r="I51" i="4"/>
  <c r="I58" i="4"/>
  <c r="D26" i="1"/>
  <c r="I52" i="4"/>
  <c r="I53" i="4" s="1"/>
  <c r="J44" i="4" s="1"/>
  <c r="I54" i="4"/>
  <c r="J45" i="4" l="1"/>
  <c r="J29" i="4"/>
  <c r="J27" i="4"/>
  <c r="J28" i="4"/>
  <c r="J8" i="4"/>
  <c r="J9" i="4"/>
  <c r="J10" i="4"/>
  <c r="J18" i="4" s="1"/>
  <c r="J37" i="4" l="1"/>
  <c r="J17" i="4"/>
  <c r="J12" i="4"/>
  <c r="J31" i="4"/>
  <c r="J36" i="4"/>
  <c r="J47" i="4"/>
  <c r="J46" i="4"/>
  <c r="J48" i="4"/>
  <c r="J50" i="4" l="1"/>
  <c r="J55" i="4"/>
  <c r="J56" i="4"/>
  <c r="J32" i="4"/>
  <c r="C27" i="1"/>
  <c r="J39" i="4"/>
  <c r="J33" i="4"/>
  <c r="J34" i="4" s="1"/>
  <c r="K25" i="4" s="1"/>
  <c r="J35" i="4"/>
  <c r="B27" i="1"/>
  <c r="J13" i="4"/>
  <c r="J20" i="4"/>
  <c r="J14" i="4"/>
  <c r="J15" i="4" s="1"/>
  <c r="K6" i="4" s="1"/>
  <c r="J16" i="4"/>
  <c r="K7" i="4" l="1"/>
  <c r="K26" i="4"/>
  <c r="J58" i="4"/>
  <c r="J52" i="4"/>
  <c r="J53" i="4" s="1"/>
  <c r="K44" i="4" s="1"/>
  <c r="D27" i="1"/>
  <c r="J51" i="4"/>
  <c r="J54" i="4"/>
  <c r="K45" i="4" l="1"/>
  <c r="K29" i="4"/>
  <c r="K28" i="4"/>
  <c r="K27" i="4"/>
  <c r="K10" i="4"/>
  <c r="K9" i="4"/>
  <c r="K8" i="4"/>
  <c r="K18" i="4" l="1"/>
  <c r="K17" i="4"/>
  <c r="K12" i="4"/>
  <c r="K36" i="4"/>
  <c r="K31" i="4"/>
  <c r="K37" i="4"/>
  <c r="K48" i="4"/>
  <c r="K47" i="4"/>
  <c r="K46" i="4"/>
  <c r="K56" i="4" l="1"/>
  <c r="K55" i="4"/>
  <c r="K50" i="4"/>
  <c r="K39" i="4"/>
  <c r="K33" i="4"/>
  <c r="K34" i="4" s="1"/>
  <c r="L25" i="4" s="1"/>
  <c r="K32" i="4"/>
  <c r="C28" i="1"/>
  <c r="K35" i="4"/>
  <c r="K20" i="4"/>
  <c r="K14" i="4"/>
  <c r="K15" i="4" s="1"/>
  <c r="L6" i="4" s="1"/>
  <c r="K13" i="4"/>
  <c r="B28" i="1"/>
  <c r="K16" i="4"/>
  <c r="L7" i="4" l="1"/>
  <c r="L26" i="4"/>
  <c r="K58" i="4"/>
  <c r="K52" i="4"/>
  <c r="K53" i="4" s="1"/>
  <c r="L44" i="4" s="1"/>
  <c r="K51" i="4"/>
  <c r="D28" i="1"/>
  <c r="K54" i="4"/>
  <c r="L45" i="4" l="1"/>
  <c r="L29" i="4"/>
  <c r="L28" i="4"/>
  <c r="L27" i="4"/>
  <c r="L10" i="4"/>
  <c r="L9" i="4"/>
  <c r="L8" i="4"/>
  <c r="L18" i="4" l="1"/>
  <c r="L36" i="4"/>
  <c r="L31" i="4"/>
  <c r="L17" i="4"/>
  <c r="L12" i="4"/>
  <c r="L48" i="4"/>
  <c r="L47" i="4"/>
  <c r="L46" i="4"/>
  <c r="L37" i="4"/>
  <c r="L55" i="4" l="1"/>
  <c r="L50" i="4"/>
  <c r="L56" i="4"/>
  <c r="L20" i="4"/>
  <c r="L14" i="4"/>
  <c r="L15" i="4" s="1"/>
  <c r="M6" i="4" s="1"/>
  <c r="M7" i="4" s="1"/>
  <c r="L13" i="4"/>
  <c r="B29" i="1"/>
  <c r="L16" i="4"/>
  <c r="L39" i="4"/>
  <c r="L33" i="4"/>
  <c r="L34" i="4" s="1"/>
  <c r="M25" i="4" s="1"/>
  <c r="M26" i="4" s="1"/>
  <c r="L32" i="4"/>
  <c r="C29" i="1"/>
  <c r="L35" i="4"/>
  <c r="M29" i="4" l="1"/>
  <c r="M28" i="4"/>
  <c r="M27" i="4"/>
  <c r="M9" i="4"/>
  <c r="M10" i="4"/>
  <c r="M8" i="4"/>
  <c r="L58" i="4"/>
  <c r="L52" i="4"/>
  <c r="L53" i="4" s="1"/>
  <c r="M44" i="4" s="1"/>
  <c r="M45" i="4" s="1"/>
  <c r="L51" i="4"/>
  <c r="D29" i="1"/>
  <c r="L54" i="4"/>
  <c r="M48" i="4" l="1"/>
  <c r="M47" i="4"/>
  <c r="M46" i="4"/>
  <c r="M18" i="4"/>
  <c r="M36" i="4"/>
  <c r="M31" i="4"/>
  <c r="M17" i="4"/>
  <c r="M12" i="4"/>
  <c r="M37" i="4"/>
  <c r="M39" i="4" l="1"/>
  <c r="M33" i="4"/>
  <c r="M34" i="4" s="1"/>
  <c r="M32" i="4"/>
  <c r="C30" i="1"/>
  <c r="M35" i="4"/>
  <c r="M55" i="4"/>
  <c r="M50" i="4"/>
  <c r="M20" i="4"/>
  <c r="M14" i="4"/>
  <c r="M15" i="4" s="1"/>
  <c r="M13" i="4"/>
  <c r="B30" i="1"/>
  <c r="M16" i="4"/>
  <c r="M56" i="4"/>
  <c r="M58" i="4" l="1"/>
  <c r="M52" i="4"/>
  <c r="M53" i="4" s="1"/>
  <c r="M51" i="4"/>
  <c r="D30" i="1"/>
  <c r="M54" i="4"/>
</calcChain>
</file>

<file path=xl/sharedStrings.xml><?xml version="1.0" encoding="utf-8"?>
<sst xmlns="http://schemas.openxmlformats.org/spreadsheetml/2006/main" count="807" uniqueCount="332">
  <si>
    <t>E-Commerce Scaling Dashboard
Meta Ads CPA scenarios, reinvestment pacing, and monthly profit roadmap</t>
  </si>
  <si>
    <t>Model Snapshot</t>
  </si>
  <si>
    <t>Metric</t>
  </si>
  <si>
    <t>Value</t>
  </si>
  <si>
    <t>Product</t>
  </si>
  <si>
    <t>Selling price</t>
  </si>
  <si>
    <t>Starting units</t>
  </si>
  <si>
    <t>Var cost pre-ads</t>
  </si>
  <si>
    <t>Break-even CPA</t>
  </si>
  <si>
    <t>Model status</t>
  </si>
  <si>
    <t>M12 best profit</t>
  </si>
  <si>
    <t>Best scenario</t>
  </si>
  <si>
    <t>M12 best units</t>
  </si>
  <si>
    <t>Best cum. profit</t>
  </si>
  <si>
    <t>Startup cash</t>
  </si>
  <si>
    <t>Break-even ROAS</t>
  </si>
  <si>
    <t>Bad CPA</t>
  </si>
  <si>
    <t>Base CPA</t>
  </si>
  <si>
    <t>Good CPA</t>
  </si>
  <si>
    <t>Bad reinvest</t>
  </si>
  <si>
    <t>Base reinvest</t>
  </si>
  <si>
    <t>Good reinvest</t>
  </si>
  <si>
    <t>Default Scenario Outcomes</t>
  </si>
  <si>
    <t>How to Use</t>
  </si>
  <si>
    <t>Scenario</t>
  </si>
  <si>
    <t>CPA</t>
  </si>
  <si>
    <t>Reinvest %</t>
  </si>
  <si>
    <t>M12 units</t>
  </si>
  <si>
    <t>M12 net profit</t>
  </si>
  <si>
    <t>Cumulative net profit</t>
  </si>
  <si>
    <t>1</t>
  </si>
  <si>
    <t>Edit yellow cells on Inputs</t>
  </si>
  <si>
    <t>Bad / 30%</t>
  </si>
  <si>
    <t>2</t>
  </si>
  <si>
    <t>Use CPA % or overwrite CPA values if your Ads Manager data is stronger</t>
  </si>
  <si>
    <t>Base / 50%</t>
  </si>
  <si>
    <t>3</t>
  </si>
  <si>
    <t>Roadmap shows month-by-month cash kept, reinvested profit, and added stock</t>
  </si>
  <si>
    <t>Good / 70%</t>
  </si>
  <si>
    <t>4</t>
  </si>
  <si>
    <t>Scenario Matrix compares CPA case x 30/50/70% reinvestment</t>
  </si>
  <si>
    <t>5</t>
  </si>
  <si>
    <t>Checks tab warns when CPA or margin assumptions break the model</t>
  </si>
  <si>
    <t>Chart Data: Net Profit by Month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</si>
  <si>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</si>
  <si>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</si>
  <si>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</si>
  <si>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</si>
  <si>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</si>
  <si>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</si>
  <si>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</si>
  <si>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</si>
  <si>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</si>
  <si>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</si>
  <si>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</si>
  <si>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</si>
  <si>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</si>
  <si>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Chart Data: Month 12 Units</t>
  </si>
  <si>
    <t>E-Commerce Scaling Roadmap
Editable assumptions for Chinese sourcing, branding, and Meta Ads CPA scenarios</t>
  </si>
  <si>
    <t>1) Product and Sales Setup</t>
  </si>
  <si>
    <t>Input</t>
  </si>
  <si>
    <t>Notes</t>
  </si>
  <si>
    <t>Model Color Key</t>
  </si>
  <si>
    <t>Product / Brand name</t>
  </si>
  <si>
    <t>Sample Product</t>
  </si>
  <si>
    <t>Change to your actual product name</t>
  </si>
  <si>
    <t>Cell type</t>
  </si>
  <si>
    <t>Meaning</t>
  </si>
  <si>
    <t>Example</t>
  </si>
  <si>
    <t>Action</t>
  </si>
  <si>
    <t>Selling price / unit</t>
  </si>
  <si>
    <t>Target product price in THB</t>
  </si>
  <si>
    <t>Yellow + blue text</t>
  </si>
  <si>
    <t>Editable assumption</t>
  </si>
  <si>
    <t>Price/cost/CPA</t>
  </si>
  <si>
    <t>Change these</t>
  </si>
  <si>
    <t>Month 1 order units</t>
  </si>
  <si>
    <t>Starting inventory volume</t>
  </si>
  <si>
    <t>Black text</t>
  </si>
  <si>
    <t>Formula output</t>
  </si>
  <si>
    <t>Profit, ROAS, MER</t>
  </si>
  <si>
    <t>Do not overwrite unless needed</t>
  </si>
  <si>
    <t>Forecast months</t>
  </si>
  <si>
    <t>Model is built for 12 months</t>
  </si>
  <si>
    <t>Green text</t>
  </si>
  <si>
    <t>Linked output</t>
  </si>
  <si>
    <t>Dashboard refs</t>
  </si>
  <si>
    <t>Trace back to source tab</t>
  </si>
  <si>
    <t>Sell-through rate</t>
  </si>
  <si>
    <t>Share of ordered units sold each month</t>
  </si>
  <si>
    <t>Refund / return rate</t>
  </si>
  <si>
    <t>Revenue leakage from returns/refunds</t>
  </si>
  <si>
    <t>3) CPA and Reinvestment Scenarios</t>
  </si>
  <si>
    <t>Monthly fixed overhead</t>
  </si>
  <si>
    <t>Tools, staff, agency, samples, warehouse, etc.</t>
  </si>
  <si>
    <t>CPA % of price</t>
  </si>
  <si>
    <t>CPA / purchase</t>
  </si>
  <si>
    <t>Profit reinvested into new inventory</t>
  </si>
  <si>
    <t>Max monthly order growth</t>
  </si>
  <si>
    <t>Operational cap so reinvestment scaling stays realistic</t>
  </si>
  <si>
    <t>2) Variable Cost per Unit Before Ads</t>
  </si>
  <si>
    <t>Landed product cost / unit</t>
  </si>
  <si>
    <t>Factory cost + China shipping + import duty + local freight to you</t>
  </si>
  <si>
    <t>CPA &lt;= gross profit before ads</t>
  </si>
  <si>
    <t>Packaging / unit</t>
  </si>
  <si>
    <t>Box, pouch, insert, label, tape</t>
  </si>
  <si>
    <t>Fulfillment / unit</t>
  </si>
  <si>
    <t>Pick, pack, warehouse handling</t>
  </si>
  <si>
    <t>4) Price-Tier CPA Guide</t>
  </si>
  <si>
    <t>Shipping to customer / unit</t>
  </si>
  <si>
    <t>Last-mile delivery paid by seller</t>
  </si>
  <si>
    <t>Price tier</t>
  </si>
  <si>
    <t>Bad CPA / danger zone</t>
  </si>
  <si>
    <t>Affiliate commission / unit</t>
  </si>
  <si>
    <t>Use 0 if none</t>
  </si>
  <si>
    <t>600-900 THB</t>
  </si>
  <si>
    <t>120-220</t>
  </si>
  <si>
    <t>220-320</t>
  </si>
  <si>
    <t>350+</t>
  </si>
  <si>
    <t>Payment / platform fixed fee / unit</t>
  </si>
  <si>
    <t>COD/payment/marketplace fixed fee</t>
  </si>
  <si>
    <t>900-1,300 THB</t>
  </si>
  <si>
    <t>180-330</t>
  </si>
  <si>
    <t>330-480</t>
  </si>
  <si>
    <t>500-600+</t>
  </si>
  <si>
    <t>Payment / platform fee % of price</t>
  </si>
  <si>
    <t>Percentage fee applied to selling price</t>
  </si>
  <si>
    <t>Formula used here</t>
  </si>
  <si>
    <t>Price x 22%</t>
  </si>
  <si>
    <t>Price x 32%</t>
  </si>
  <si>
    <t>Price x 42%</t>
  </si>
  <si>
    <t>Other variable cost / unit</t>
  </si>
  <si>
    <t>Samples, warranty reserve, inserts, extra fee</t>
  </si>
  <si>
    <t>Total variable cost before ads</t>
  </si>
  <si>
    <t>Formula</t>
  </si>
  <si>
    <t>Gross profit before ads / unit</t>
  </si>
  <si>
    <t>5) Scenario Table Used by the Model</t>
  </si>
  <si>
    <t>CPA %</t>
  </si>
  <si>
    <t>Net profit / unit</t>
  </si>
  <si>
    <t>ROAS</t>
  </si>
  <si>
    <t>MER</t>
  </si>
  <si>
    <t>CPA cushion vs break-even</t>
  </si>
  <si>
    <t>Break-even</t>
  </si>
  <si>
    <t>Unit Economics and Break-Even Math
Per-unit profit model adapted from the source workbook logic</t>
  </si>
  <si>
    <t>Core Unit Economics</t>
  </si>
  <si>
    <t>Quick Interpretation</t>
  </si>
  <si>
    <t>Formula / Link</t>
  </si>
  <si>
    <t>If Net profit / unit is positive</t>
  </si>
  <si>
    <t>You can scale, then watch cash conversion and stock lead time</t>
  </si>
  <si>
    <t>Inputs!B7</t>
  </si>
  <si>
    <t>Revenue per unit</t>
  </si>
  <si>
    <t>If CPA cushion is small</t>
  </si>
  <si>
    <t>Scale slowly or raise price / bundle / lower variable costs</t>
  </si>
  <si>
    <t>Variable cost before ads</t>
  </si>
  <si>
    <t>Inputs!B24</t>
  </si>
  <si>
    <t>Landed cost + ops + payment/platform fees</t>
  </si>
  <si>
    <t>If ROAS is above break-even</t>
  </si>
  <si>
    <t>Campaign can be profitable before fixed overhead</t>
  </si>
  <si>
    <t>Gross profit before ads</t>
  </si>
  <si>
    <t>Inputs!B25</t>
  </si>
  <si>
    <t>Maximum CPA before fixed overhead</t>
  </si>
  <si>
    <t>If MER is too high</t>
  </si>
  <si>
    <t>Ads are consuming too much revenue</t>
  </si>
  <si>
    <t>COGS % before ads</t>
  </si>
  <si>
    <t>Inputs!B24 / Inputs!B7</t>
  </si>
  <si>
    <t>Variable cost share of price</t>
  </si>
  <si>
    <t>Price / gross profit before ads</t>
  </si>
  <si>
    <t>ROAS below this loses money</t>
  </si>
  <si>
    <t>CPA threshold before fixed overhead</t>
  </si>
  <si>
    <t>Inputs!B12</t>
  </si>
  <si>
    <t>Allocated after unit economics</t>
  </si>
  <si>
    <t>Month 1 startup product cash</t>
  </si>
  <si>
    <t>Initial units x landed cost</t>
  </si>
  <si>
    <t>Inventory cash needed before ad spend</t>
  </si>
  <si>
    <t>Contribution Margin by Scenario</t>
  </si>
  <si>
    <t>Price</t>
  </si>
  <si>
    <t>Cost before ads</t>
  </si>
  <si>
    <t>Net margin</t>
  </si>
  <si>
    <t>12-Month Scaling Roadmap
Each scenario starts with Month 1 inventory, then reinvests a % of monthly profit into more stock for the next month</t>
  </si>
  <si>
    <t>Bad CPA Scenario</t>
  </si>
  <si>
    <t>Order units</t>
  </si>
  <si>
    <t>Units sold</t>
  </si>
  <si>
    <t>Net revenue</t>
  </si>
  <si>
    <t>Meta ad spend</t>
  </si>
  <si>
    <t>Fixed overhead</t>
  </si>
  <si>
    <t>Net profit</t>
  </si>
  <si>
    <t>Cash kept</t>
  </si>
  <si>
    <t>Profit reinvested</t>
  </si>
  <si>
    <t>Added units next month</t>
  </si>
  <si>
    <t>CPA cushion / unit</t>
  </si>
  <si>
    <t>Scenario status</t>
  </si>
  <si>
    <t>Base CPA Scenario</t>
  </si>
  <si>
    <t>Good CPA Scenario</t>
  </si>
  <si>
    <t>Scenario Matrix
Compare CPA case x reinvestment rate across the same 12-month model</t>
  </si>
  <si>
    <t>Summary of 9 Scaling Paths</t>
  </si>
  <si>
    <t>Helper: Units by Month</t>
  </si>
  <si>
    <t>Helper: Net Profit by Month</t>
  </si>
  <si>
    <t>Helper: Cash Kept by Month</t>
  </si>
  <si>
    <t>Helper: Reinvested by Month</t>
  </si>
  <si>
    <t>Combo</t>
  </si>
  <si>
    <t>CPA case</t>
  </si>
  <si>
    <t>M1 units</t>
  </si>
  <si>
    <t>M6 units</t>
  </si>
  <si>
    <t>Reinvested total</t>
  </si>
  <si>
    <t>M12 ad spend</t>
  </si>
  <si>
    <t>Status</t>
  </si>
  <si>
    <t>M1 Units</t>
  </si>
  <si>
    <t>M2 Units</t>
  </si>
  <si>
    <t>M3 Units</t>
  </si>
  <si>
    <t>M4 Units</t>
  </si>
  <si>
    <t>M5 Units</t>
  </si>
  <si>
    <t>M6 Units</t>
  </si>
  <si>
    <t>M7 Units</t>
  </si>
  <si>
    <t>M8 Units</t>
  </si>
  <si>
    <t>M9 Units</t>
  </si>
  <si>
    <t>M10 Units</t>
  </si>
  <si>
    <t>M11 Units</t>
  </si>
  <si>
    <t>M12 Units</t>
  </si>
  <si>
    <t>M1 Profit</t>
  </si>
  <si>
    <t>M2 Profit</t>
  </si>
  <si>
    <t>M3 Profit</t>
  </si>
  <si>
    <t>M4 Profit</t>
  </si>
  <si>
    <t>M5 Profit</t>
  </si>
  <si>
    <t>M6 Profit</t>
  </si>
  <si>
    <t>M7 Profit</t>
  </si>
  <si>
    <t>M8 Profit</t>
  </si>
  <si>
    <t>M9 Profit</t>
  </si>
  <si>
    <t>M10 Profit</t>
  </si>
  <si>
    <t>M11 Profit</t>
  </si>
  <si>
    <t>M12 Profit</t>
  </si>
  <si>
    <t>M1 Cash</t>
  </si>
  <si>
    <t>M2 Cash</t>
  </si>
  <si>
    <t>M3 Cash</t>
  </si>
  <si>
    <t>M4 Cash</t>
  </si>
  <si>
    <t>M5 Cash</t>
  </si>
  <si>
    <t>M6 Cash</t>
  </si>
  <si>
    <t>M7 Cash</t>
  </si>
  <si>
    <t>M8 Cash</t>
  </si>
  <si>
    <t>M9 Cash</t>
  </si>
  <si>
    <t>M10 Cash</t>
  </si>
  <si>
    <t>M11 Cash</t>
  </si>
  <si>
    <t>M12 Cash</t>
  </si>
  <si>
    <t>M1 Reinvest</t>
  </si>
  <si>
    <t>M2 Reinvest</t>
  </si>
  <si>
    <t>M3 Reinvest</t>
  </si>
  <si>
    <t>M4 Reinvest</t>
  </si>
  <si>
    <t>M5 Reinvest</t>
  </si>
  <si>
    <t>M6 Reinvest</t>
  </si>
  <si>
    <t>M7 Reinvest</t>
  </si>
  <si>
    <t>M8 Reinvest</t>
  </si>
  <si>
    <t>M9 Reinvest</t>
  </si>
  <si>
    <t>M10 Reinvest</t>
  </si>
  <si>
    <t>M11 Reinvest</t>
  </si>
  <si>
    <t>M12 Reinvest</t>
  </si>
  <si>
    <t>Bad / 50%</t>
  </si>
  <si>
    <t>Bad / 70%</t>
  </si>
  <si>
    <t>Base / 30%</t>
  </si>
  <si>
    <t>Base / 70%</t>
  </si>
  <si>
    <t>Good / 30%</t>
  </si>
  <si>
    <t>Good / 50%</t>
  </si>
  <si>
    <t>Model Checks
Formula and business logic checks for the scaling roadmap</t>
  </si>
  <si>
    <t>Overall status</t>
  </si>
  <si>
    <t>Audit Checks</t>
  </si>
  <si>
    <t>Check</t>
  </si>
  <si>
    <t>Actual</t>
  </si>
  <si>
    <t>Expected</t>
  </si>
  <si>
    <t>Difference</t>
  </si>
  <si>
    <t>Tolerance</t>
  </si>
  <si>
    <t>Fix hint</t>
  </si>
  <si>
    <t>Location</t>
  </si>
  <si>
    <t>Selling price above variable cost</t>
  </si>
  <si>
    <t>Raise price or reduce landed/ops costs</t>
  </si>
  <si>
    <t>Inputs!B7:B25</t>
  </si>
  <si>
    <t>Bad CPA below break-even CPA</t>
  </si>
  <si>
    <t>Bad scenario CPA is beyond unit economics</t>
  </si>
  <si>
    <t>Inputs!C29 / Inputs!B25</t>
  </si>
  <si>
    <t>Base CPA below break-even CPA</t>
  </si>
  <si>
    <t>Base scenario may need better offer/creative</t>
  </si>
  <si>
    <t>Inputs!C30 / Inputs!B25</t>
  </si>
  <si>
    <t>Good CPA below break-even CPA</t>
  </si>
  <si>
    <t>Even good CPA is too high</t>
  </si>
  <si>
    <t>Inputs!C31 / Inputs!B25</t>
  </si>
  <si>
    <t>Initial units positive</t>
  </si>
  <si>
    <t>Enter Month 1 order units</t>
  </si>
  <si>
    <t>Inputs!B8</t>
  </si>
  <si>
    <t>Sell-through rate within 0%-100%</t>
  </si>
  <si>
    <t>Set realistic sell-through</t>
  </si>
  <si>
    <t>Inputs!B10</t>
  </si>
  <si>
    <t>Refund rate below 30%</t>
  </si>
  <si>
    <t>High returns can destroy contribution margin</t>
  </si>
  <si>
    <t>Inputs!B11</t>
  </si>
  <si>
    <t>Formula error scan proxy</t>
  </si>
  <si>
    <t>Run Excel formula audit if manually edited</t>
  </si>
  <si>
    <t>Workbook</t>
  </si>
  <si>
    <t>Sources and Model Notes
Assumptions are editable; use this tab to audit default logic</t>
  </si>
  <si>
    <t>Workbook Sources</t>
  </si>
  <si>
    <t>Item</t>
  </si>
  <si>
    <t>Value / Logic</t>
  </si>
  <si>
    <t>Unit</t>
  </si>
  <si>
    <t>As of</t>
  </si>
  <si>
    <t>Source</t>
  </si>
  <si>
    <t>Source workbook logic</t>
  </si>
  <si>
    <t>Price - landed cost - packaging - fulfillment - shipping - affiliate - fees - CPA</t>
  </si>
  <si>
    <t>THB/unit</t>
  </si>
  <si>
    <t>2026-05-25</t>
  </si>
  <si>
    <t>Profit Breakdown - Quantum Commerce.xlsx</t>
  </si>
  <si>
    <t>Adapted from user's workbook structure</t>
  </si>
  <si>
    <t>CPA guide for 600-900 THB</t>
  </si>
  <si>
    <t>Good 120-220, Base 220-320, danger 350+</t>
  </si>
  <si>
    <t>THB/purchase</t>
  </si>
  <si>
    <t>Prior benchmark research in this chat</t>
  </si>
  <si>
    <t>Workbook uses price x 22% / 32% / 42% as editable default</t>
  </si>
  <si>
    <t>CPA guide for 900-1,300 THB</t>
  </si>
  <si>
    <t>Good 180-330, Base 330-480, danger 500-600+</t>
  </si>
  <si>
    <t>Adjust based on Ads Manager purchase data</t>
  </si>
  <si>
    <t>Reinvestment formula</t>
  </si>
  <si>
    <t>Next units = prior units + floor(profit reinvested / landed product cost)</t>
  </si>
  <si>
    <t>Units</t>
  </si>
  <si>
    <t>Analyst assumption</t>
  </si>
  <si>
    <t>Models profit-funded inventory scaling</t>
  </si>
  <si>
    <t>Revenue formula</t>
  </si>
  <si>
    <t>Units sold x price x (1 - refund rate)</t>
  </si>
  <si>
    <t>THB</t>
  </si>
  <si>
    <t>Refunds reduce recognized revenue</t>
  </si>
  <si>
    <t>Ad spend formula</t>
  </si>
  <si>
    <t>Units sold x CPA</t>
  </si>
  <si>
    <t>CPA is cost per purchase/order</t>
  </si>
  <si>
    <t>Important Caveats</t>
  </si>
  <si>
    <t>Order growth is capped by Inputs!B13 to keep reinvestment scaling realistic.</t>
  </si>
  <si>
    <t>China sourcing lead-time, working capital, tax, VAT, payment settlement delay, COD rejection, storage limits, and creative production are not automatically modeled unless added in Inputs overhead/costs.</t>
  </si>
  <si>
    <t>Reinvested profit is cash allocated into stock, not an accounting expense. Dashboard still shows accounting net profit and cash kept separately.</t>
  </si>
  <si>
    <t>When you have real Meta Ads purchase data, overwrite CPA assumptions first; that will update every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</si>
</sst>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฿&quot;#,##0;[Red]\(&quot;฿&quot;#,##0\);\-"/>
    <numFmt numFmtId="165" formatCode="#,##0;[Red]\(#,##0\);\-"/>
    <numFmt numFmtId="166" formatCode="0.0%;[Red]\(0.0%\);\-"/>
    <numFmt numFmtId="167" formatCode="0.00\x;[Red]\(0.00\x\);\-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0000FF"/>
      <name val="Carlito"/>
    </font>
    <font>
      <sz val="11"/>
      <color rgb="FF00800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F6F8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8F3FF"/>
      </patternFill>
    </fill>
    <fill>
      <patternFill patternType="solid">
        <fgColor rgb="FFB91C1C"/>
      </patternFill>
    </fill>
    <fill>
      <patternFill patternType="solid">
        <fgColor rgb="FFFDECEC"/>
      </patternFill>
    </fill>
    <fill>
      <patternFill patternType="solid">
        <fgColor rgb="FF15803D"/>
      </patternFill>
    </fill>
    <fill>
      <patternFill patternType="solid">
        <fgColor rgb="FFEAF7EA"/>
      </patternFill>
    </fill>
    <fill>
      <patternFill patternType="solid">
        <fgColor rgb="FFFFF4DA"/>
      </patternFill>
    </fill>
  </fills>
  <borders count="16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3" fillId="7" borderId="4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164" fontId="4" fillId="6" borderId="5" xfId="0" applyNumberFormat="1" applyFont="1" applyFill="1" applyBorder="1" applyAlignment="1">
      <alignment horizontal="right" vertical="center"/>
    </xf>
    <xf numFmtId="165" fontId="4" fillId="6" borderId="5" xfId="0" applyNumberFormat="1" applyFont="1" applyFill="1" applyBorder="1" applyAlignment="1">
      <alignment horizontal="right" vertical="center"/>
    </xf>
    <xf numFmtId="166" fontId="4" fillId="6" borderId="5" xfId="0" applyNumberFormat="1" applyFont="1" applyFill="1" applyBorder="1" applyAlignment="1">
      <alignment horizontal="right" vertical="center"/>
    </xf>
    <xf numFmtId="166" fontId="4" fillId="6" borderId="6" xfId="0" applyNumberFormat="1" applyFont="1" applyFill="1" applyBorder="1" applyAlignment="1">
      <alignment horizontal="right" vertical="center"/>
    </xf>
    <xf numFmtId="164" fontId="4" fillId="6" borderId="4" xfId="0" applyNumberFormat="1" applyFont="1" applyFill="1" applyBorder="1" applyAlignment="1">
      <alignment horizontal="right" vertical="center"/>
    </xf>
    <xf numFmtId="164" fontId="4" fillId="6" borderId="6" xfId="0" applyNumberFormat="1" applyFont="1" applyFill="1" applyBorder="1" applyAlignment="1">
      <alignment horizontal="right" vertical="center"/>
    </xf>
    <xf numFmtId="164" fontId="3" fillId="7" borderId="4" xfId="0" applyNumberFormat="1" applyFont="1" applyFill="1" applyBorder="1" applyAlignment="1">
      <alignment horizontal="right" vertical="center"/>
    </xf>
    <xf numFmtId="164" fontId="3" fillId="7" borderId="6" xfId="0" applyNumberFormat="1" applyFont="1" applyFill="1" applyBorder="1" applyAlignment="1">
      <alignment horizontal="right" vertical="center"/>
    </xf>
    <xf numFmtId="0" fontId="3" fillId="7" borderId="7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11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7" borderId="13" xfId="0" applyFont="1" applyFill="1" applyBorder="1" applyAlignment="1">
      <alignment vertical="center"/>
    </xf>
    <xf numFmtId="0" fontId="3" fillId="7" borderId="14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166" fontId="4" fillId="6" borderId="4" xfId="0" applyNumberFormat="1" applyFont="1" applyFill="1" applyBorder="1" applyAlignment="1">
      <alignment horizontal="right" vertical="center"/>
    </xf>
    <xf numFmtId="166" fontId="3" fillId="7" borderId="15" xfId="0" applyNumberFormat="1" applyFont="1" applyFill="1" applyBorder="1" applyAlignment="1">
      <alignment horizontal="right" vertical="center"/>
    </xf>
    <xf numFmtId="164" fontId="3" fillId="7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right" vertical="center"/>
    </xf>
    <xf numFmtId="0" fontId="3" fillId="7" borderId="9" xfId="0" applyFont="1" applyFill="1" applyBorder="1" applyAlignment="1">
      <alignment horizontal="right" vertical="center"/>
    </xf>
    <xf numFmtId="0" fontId="3" fillId="7" borderId="10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7" borderId="11" xfId="0" applyFont="1" applyFill="1" applyBorder="1" applyAlignment="1">
      <alignment horizontal="right" vertical="center"/>
    </xf>
    <xf numFmtId="0" fontId="3" fillId="7" borderId="14" xfId="0" applyFont="1" applyFill="1" applyBorder="1" applyAlignment="1">
      <alignment horizontal="right" vertical="center"/>
    </xf>
    <xf numFmtId="166" fontId="3" fillId="7" borderId="7" xfId="0" applyNumberFormat="1" applyFont="1" applyFill="1" applyBorder="1" applyAlignment="1">
      <alignment horizontal="right" vertical="center"/>
    </xf>
    <xf numFmtId="166" fontId="3" fillId="7" borderId="10" xfId="0" applyNumberFormat="1" applyFont="1" applyFill="1" applyBorder="1" applyAlignment="1">
      <alignment horizontal="right" vertical="center"/>
    </xf>
    <xf numFmtId="166" fontId="3" fillId="7" borderId="12" xfId="0" applyNumberFormat="1" applyFont="1" applyFill="1" applyBorder="1" applyAlignment="1">
      <alignment horizontal="right" vertical="center"/>
    </xf>
    <xf numFmtId="164" fontId="3" fillId="7" borderId="8" xfId="0" applyNumberFormat="1" applyFont="1" applyFill="1" applyBorder="1" applyAlignment="1">
      <alignment horizontal="right" vertical="center"/>
    </xf>
    <xf numFmtId="164" fontId="3" fillId="7" borderId="0" xfId="0" applyNumberFormat="1" applyFont="1" applyFill="1" applyAlignment="1">
      <alignment horizontal="right" vertical="center"/>
    </xf>
    <xf numFmtId="164" fontId="3" fillId="7" borderId="13" xfId="0" applyNumberFormat="1" applyFont="1" applyFill="1" applyBorder="1" applyAlignment="1">
      <alignment horizontal="right" vertical="center"/>
    </xf>
    <xf numFmtId="166" fontId="3" fillId="7" borderId="8" xfId="0" applyNumberFormat="1" applyFont="1" applyFill="1" applyBorder="1" applyAlignment="1">
      <alignment horizontal="right" vertical="center"/>
    </xf>
    <xf numFmtId="166" fontId="3" fillId="7" borderId="0" xfId="0" applyNumberFormat="1" applyFont="1" applyFill="1" applyAlignment="1">
      <alignment horizontal="right" vertical="center"/>
    </xf>
    <xf numFmtId="166" fontId="3" fillId="7" borderId="13" xfId="0" applyNumberFormat="1" applyFont="1" applyFill="1" applyBorder="1" applyAlignment="1">
      <alignment horizontal="right" vertical="center"/>
    </xf>
    <xf numFmtId="167" fontId="3" fillId="7" borderId="8" xfId="0" applyNumberFormat="1" applyFont="1" applyFill="1" applyBorder="1" applyAlignment="1">
      <alignment horizontal="right" vertical="center"/>
    </xf>
    <xf numFmtId="167" fontId="3" fillId="7" borderId="0" xfId="0" applyNumberFormat="1" applyFont="1" applyFill="1" applyAlignment="1">
      <alignment horizontal="right" vertical="center"/>
    </xf>
    <xf numFmtId="167" fontId="3" fillId="7" borderId="13" xfId="0" applyNumberFormat="1" applyFont="1" applyFill="1" applyBorder="1" applyAlignment="1">
      <alignment horizontal="right" vertical="center"/>
    </xf>
    <xf numFmtId="164" fontId="3" fillId="7" borderId="9" xfId="0" applyNumberFormat="1" applyFont="1" applyFill="1" applyBorder="1" applyAlignment="1">
      <alignment horizontal="right" vertical="center"/>
    </xf>
    <xf numFmtId="164" fontId="3" fillId="7" borderId="11" xfId="0" applyNumberFormat="1" applyFont="1" applyFill="1" applyBorder="1" applyAlignment="1">
      <alignment horizontal="right" vertical="center"/>
    </xf>
    <xf numFmtId="164" fontId="3" fillId="7" borderId="14" xfId="0" applyNumberFormat="1" applyFont="1" applyFill="1" applyBorder="1" applyAlignment="1">
      <alignment horizontal="right" vertical="center"/>
    </xf>
    <xf numFmtId="0" fontId="3" fillId="5" borderId="7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164" fontId="5" fillId="7" borderId="4" xfId="0" applyNumberFormat="1" applyFont="1" applyFill="1" applyBorder="1" applyAlignment="1">
      <alignment horizontal="right" vertical="center"/>
    </xf>
    <xf numFmtId="164" fontId="5" fillId="7" borderId="5" xfId="0" applyNumberFormat="1" applyFont="1" applyFill="1" applyBorder="1" applyAlignment="1">
      <alignment horizontal="right" vertical="center"/>
    </xf>
    <xf numFmtId="166" fontId="5" fillId="7" borderId="5" xfId="0" applyNumberFormat="1" applyFont="1" applyFill="1" applyBorder="1" applyAlignment="1">
      <alignment horizontal="right" vertical="center"/>
    </xf>
    <xf numFmtId="167" fontId="5" fillId="7" borderId="5" xfId="0" applyNumberFormat="1" applyFont="1" applyFill="1" applyBorder="1" applyAlignment="1">
      <alignment horizontal="right" vertical="center"/>
    </xf>
    <xf numFmtId="164" fontId="5" fillId="7" borderId="6" xfId="0" applyNumberFormat="1" applyFont="1" applyFill="1" applyBorder="1" applyAlignment="1">
      <alignment horizontal="right" vertical="center"/>
    </xf>
    <xf numFmtId="164" fontId="3" fillId="7" borderId="7" xfId="0" applyNumberFormat="1" applyFont="1" applyFill="1" applyBorder="1" applyAlignment="1">
      <alignment horizontal="right" vertical="center"/>
    </xf>
    <xf numFmtId="164" fontId="3" fillId="7" borderId="10" xfId="0" applyNumberFormat="1" applyFont="1" applyFill="1" applyBorder="1" applyAlignment="1">
      <alignment horizontal="right" vertical="center"/>
    </xf>
    <xf numFmtId="166" fontId="3" fillId="7" borderId="11" xfId="0" applyNumberFormat="1" applyFont="1" applyFill="1" applyBorder="1" applyAlignment="1">
      <alignment horizontal="right" vertical="center"/>
    </xf>
    <xf numFmtId="167" fontId="3" fillId="7" borderId="10" xfId="0" applyNumberFormat="1" applyFont="1" applyFill="1" applyBorder="1" applyAlignment="1">
      <alignment horizontal="right" vertical="center"/>
    </xf>
    <xf numFmtId="167" fontId="3" fillId="7" borderId="11" xfId="0" applyNumberFormat="1" applyFont="1" applyFill="1" applyBorder="1" applyAlignment="1">
      <alignment horizontal="right" vertical="center"/>
    </xf>
    <xf numFmtId="164" fontId="3" fillId="7" borderId="12" xfId="0" applyNumberFormat="1" applyFont="1" applyFill="1" applyBorder="1" applyAlignment="1">
      <alignment horizontal="right" vertical="center"/>
    </xf>
    <xf numFmtId="166" fontId="3" fillId="7" borderId="9" xfId="0" applyNumberFormat="1" applyFont="1" applyFill="1" applyBorder="1" applyAlignment="1">
      <alignment horizontal="right" vertical="center"/>
    </xf>
    <xf numFmtId="166" fontId="3" fillId="7" borderId="14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" fillId="8" borderId="7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11" xfId="0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3" fillId="8" borderId="13" xfId="0" applyFont="1" applyFill="1" applyBorder="1" applyAlignment="1">
      <alignment vertical="center"/>
    </xf>
    <xf numFmtId="0" fontId="3" fillId="8" borderId="14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vertical="center"/>
    </xf>
    <xf numFmtId="0" fontId="3" fillId="10" borderId="5" xfId="0" applyFont="1" applyFill="1" applyBorder="1" applyAlignment="1">
      <alignment vertical="center"/>
    </xf>
    <xf numFmtId="0" fontId="3" fillId="10" borderId="6" xfId="0" applyFont="1" applyFill="1" applyBorder="1" applyAlignment="1">
      <alignment vertical="center"/>
    </xf>
    <xf numFmtId="165" fontId="3" fillId="7" borderId="7" xfId="0" applyNumberFormat="1" applyFont="1" applyFill="1" applyBorder="1" applyAlignment="1">
      <alignment horizontal="right" vertical="center"/>
    </xf>
    <xf numFmtId="165" fontId="3" fillId="7" borderId="8" xfId="0" applyNumberFormat="1" applyFont="1" applyFill="1" applyBorder="1" applyAlignment="1">
      <alignment horizontal="right" vertical="center"/>
    </xf>
    <xf numFmtId="165" fontId="3" fillId="7" borderId="9" xfId="0" applyNumberFormat="1" applyFont="1" applyFill="1" applyBorder="1" applyAlignment="1">
      <alignment horizontal="right" vertical="center"/>
    </xf>
    <xf numFmtId="165" fontId="3" fillId="7" borderId="10" xfId="0" applyNumberFormat="1" applyFont="1" applyFill="1" applyBorder="1" applyAlignment="1">
      <alignment horizontal="right" vertical="center"/>
    </xf>
    <xf numFmtId="165" fontId="3" fillId="7" borderId="0" xfId="0" applyNumberFormat="1" applyFont="1" applyFill="1" applyAlignment="1">
      <alignment horizontal="right" vertical="center"/>
    </xf>
    <xf numFmtId="165" fontId="3" fillId="7" borderId="11" xfId="0" applyNumberFormat="1" applyFont="1" applyFill="1" applyBorder="1" applyAlignment="1">
      <alignment horizontal="right"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vertical="center"/>
    </xf>
    <xf numFmtId="0" fontId="3" fillId="12" borderId="5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65" fontId="3" fillId="7" borderId="12" xfId="0" applyNumberFormat="1" applyFont="1" applyFill="1" applyBorder="1" applyAlignment="1">
      <alignment horizontal="right" vertical="center"/>
    </xf>
    <xf numFmtId="165" fontId="3" fillId="7" borderId="13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5" fillId="7" borderId="9" xfId="0" applyFont="1" applyFill="1" applyBorder="1" applyAlignment="1">
      <alignment horizontal="right" vertical="center"/>
    </xf>
    <xf numFmtId="0" fontId="5" fillId="7" borderId="0" xfId="0" applyFont="1" applyFill="1" applyAlignment="1">
      <alignment horizontal="right" vertical="center"/>
    </xf>
    <xf numFmtId="0" fontId="5" fillId="7" borderId="11" xfId="0" applyFont="1" applyFill="1" applyBorder="1" applyAlignment="1">
      <alignment horizontal="right" vertical="center"/>
    </xf>
    <xf numFmtId="0" fontId="5" fillId="7" borderId="13" xfId="0" applyFont="1" applyFill="1" applyBorder="1" applyAlignment="1">
      <alignment horizontal="right" vertical="center"/>
    </xf>
    <xf numFmtId="164" fontId="5" fillId="7" borderId="8" xfId="0" applyNumberFormat="1" applyFont="1" applyFill="1" applyBorder="1" applyAlignment="1">
      <alignment horizontal="right" vertical="center"/>
    </xf>
    <xf numFmtId="165" fontId="5" fillId="7" borderId="8" xfId="0" applyNumberFormat="1" applyFont="1" applyFill="1" applyBorder="1" applyAlignment="1">
      <alignment horizontal="right" vertical="center"/>
    </xf>
    <xf numFmtId="164" fontId="5" fillId="7" borderId="10" xfId="0" applyNumberFormat="1" applyFont="1" applyFill="1" applyBorder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167" fontId="5" fillId="7" borderId="11" xfId="0" applyNumberFormat="1" applyFont="1" applyFill="1" applyBorder="1" applyAlignment="1">
      <alignment horizontal="right" vertical="center"/>
    </xf>
    <xf numFmtId="164" fontId="5" fillId="7" borderId="12" xfId="0" applyNumberFormat="1" applyFont="1" applyFill="1" applyBorder="1" applyAlignment="1">
      <alignment horizontal="right" vertical="center"/>
    </xf>
    <xf numFmtId="164" fontId="5" fillId="7" borderId="13" xfId="0" applyNumberFormat="1" applyFont="1" applyFill="1" applyBorder="1" applyAlignment="1">
      <alignment horizontal="right" vertical="center"/>
    </xf>
    <xf numFmtId="166" fontId="5" fillId="7" borderId="13" xfId="0" applyNumberFormat="1" applyFont="1" applyFill="1" applyBorder="1" applyAlignment="1">
      <alignment horizontal="right" vertical="center"/>
    </xf>
    <xf numFmtId="166" fontId="5" fillId="7" borderId="14" xfId="0" applyNumberFormat="1" applyFont="1" applyFill="1" applyBorder="1" applyAlignment="1">
      <alignment horizontal="right" vertical="center"/>
    </xf>
    <xf numFmtId="164" fontId="5" fillId="7" borderId="7" xfId="0" applyNumberFormat="1" applyFont="1" applyFill="1" applyBorder="1" applyAlignment="1">
      <alignment horizontal="right" vertical="center"/>
    </xf>
    <xf numFmtId="166" fontId="5" fillId="7" borderId="8" xfId="0" applyNumberFormat="1" applyFont="1" applyFill="1" applyBorder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165" fontId="5" fillId="7" borderId="13" xfId="0" applyNumberFormat="1" applyFont="1" applyFill="1" applyBorder="1" applyAlignment="1">
      <alignment horizontal="right" vertical="center"/>
    </xf>
    <xf numFmtId="164" fontId="5" fillId="7" borderId="9" xfId="0" applyNumberFormat="1" applyFont="1" applyFill="1" applyBorder="1" applyAlignment="1">
      <alignment horizontal="right" vertical="center"/>
    </xf>
    <xf numFmtId="164" fontId="5" fillId="7" borderId="11" xfId="0" applyNumberFormat="1" applyFont="1" applyFill="1" applyBorder="1" applyAlignment="1">
      <alignment horizontal="right" vertical="center"/>
    </xf>
    <xf numFmtId="164" fontId="5" fillId="7" borderId="14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5" fontId="5" fillId="7" borderId="7" xfId="0" applyNumberFormat="1" applyFont="1" applyFill="1" applyBorder="1" applyAlignment="1">
      <alignment horizontal="right" vertical="center"/>
    </xf>
    <xf numFmtId="165" fontId="5" fillId="7" borderId="10" xfId="0" applyNumberFormat="1" applyFont="1" applyFill="1" applyBorder="1" applyAlignment="1">
      <alignment horizontal="right" vertical="center"/>
    </xf>
    <xf numFmtId="165" fontId="5" fillId="7" borderId="12" xfId="0" applyNumberFormat="1" applyFont="1" applyFill="1" applyBorder="1" applyAlignment="1">
      <alignment horizontal="right" vertical="center"/>
    </xf>
    <xf numFmtId="0" fontId="3" fillId="13" borderId="7" xfId="0" applyFont="1" applyFill="1" applyBorder="1" applyAlignment="1">
      <alignment vertical="center"/>
    </xf>
    <xf numFmtId="0" fontId="3" fillId="13" borderId="8" xfId="0" applyFont="1" applyFill="1" applyBorder="1" applyAlignment="1">
      <alignment vertical="center"/>
    </xf>
    <xf numFmtId="0" fontId="3" fillId="13" borderId="9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0" xfId="0" applyFont="1" applyFill="1" applyAlignment="1">
      <alignment vertical="center"/>
    </xf>
    <xf numFmtId="0" fontId="3" fillId="13" borderId="11" xfId="0" applyFont="1" applyFill="1" applyBorder="1" applyAlignment="1">
      <alignment vertical="center"/>
    </xf>
    <xf numFmtId="0" fontId="3" fillId="13" borderId="12" xfId="0" applyFont="1" applyFill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4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9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Net Profit by Scenario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Bad / 30%</c:v>
          </c:tx>
          <c:cat>
            <c:strRef>
              <c:f>Dashboard!$A$19:$A$30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Dashboard!$B$19:$B$30</c:f>
              <c:numCache>
                <c:formatCode>"฿"#,##0;[Red]\("฿"#,##0\);\-</c:formatCode>
                <c:ptCount val="12"/>
                <c:pt idx="0">
                  <c:v>-2625</c:v>
                </c:pt>
                <c:pt idx="1">
                  <c:v>-2625</c:v>
                </c:pt>
                <c:pt idx="2">
                  <c:v>-2625</c:v>
                </c:pt>
                <c:pt idx="3">
                  <c:v>-2625</c:v>
                </c:pt>
                <c:pt idx="4">
                  <c:v>-2625</c:v>
                </c:pt>
                <c:pt idx="5">
                  <c:v>-2625</c:v>
                </c:pt>
                <c:pt idx="6">
                  <c:v>-2625</c:v>
                </c:pt>
                <c:pt idx="7">
                  <c:v>-2625</c:v>
                </c:pt>
                <c:pt idx="8">
                  <c:v>-2625</c:v>
                </c:pt>
                <c:pt idx="9">
                  <c:v>-2625</c:v>
                </c:pt>
                <c:pt idx="10">
                  <c:v>-2625</c:v>
                </c:pt>
                <c:pt idx="11">
                  <c:v>-2625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8-4AAB-BF06-190D83B1323C}"/>
            </c:ext>
          </c:extLst>
        </c:ser>
        <c:ser>
          <c:idx val="1"/>
          <c:order val="1"/>
          <c:tx>
            <c:v>Base / 50%</c:v>
          </c:tx>
          <c:cat>
            <c:strRef>
              <c:f>Dashboard!$A$19:$A$30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Dashboard!$C$19:$C$30</c:f>
              <c:numCache>
                <c:formatCode>"฿"#,##0;[Red]\("฿"#,##0\);\-</c:formatCode>
                <c:ptCount val="12"/>
                <c:pt idx="0">
                  <c:v>-375</c:v>
                </c:pt>
                <c:pt idx="1">
                  <c:v>-375</c:v>
                </c:pt>
                <c:pt idx="2">
                  <c:v>-375</c:v>
                </c:pt>
                <c:pt idx="3">
                  <c:v>-375</c:v>
                </c:pt>
                <c:pt idx="4">
                  <c:v>-375</c:v>
                </c:pt>
                <c:pt idx="5">
                  <c:v>-375</c:v>
                </c:pt>
                <c:pt idx="6">
                  <c:v>-375</c:v>
                </c:pt>
                <c:pt idx="7">
                  <c:v>-375</c:v>
                </c:pt>
                <c:pt idx="8">
                  <c:v>-375</c:v>
                </c:pt>
                <c:pt idx="9">
                  <c:v>-375</c:v>
                </c:pt>
                <c:pt idx="10">
                  <c:v>-375</c:v>
                </c:pt>
                <c:pt idx="11">
                  <c:v>-375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8-4AAB-BF06-190D83B1323C}"/>
            </c:ext>
          </c:extLst>
        </c:ser>
        <c:ser>
          <c:idx val="2"/>
          <c:order val="2"/>
          <c:tx>
            <c:v>Good / 70%</c:v>
          </c:tx>
          <c:cat>
            <c:strRef>
              <c:f>Dashboard!$A$19:$A$30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Dashboard!$D$19:$D$30</c:f>
              <c:numCache>
                <c:formatCode>"฿"#,##0;[Red]\("฿"#,##0\);\-</c:formatCode>
                <c:ptCount val="12"/>
                <c:pt idx="0">
                  <c:v>1875</c:v>
                </c:pt>
                <c:pt idx="1">
                  <c:v>2075</c:v>
                </c:pt>
                <c:pt idx="2">
                  <c:v>2300</c:v>
                </c:pt>
                <c:pt idx="3">
                  <c:v>2550</c:v>
                </c:pt>
                <c:pt idx="4">
                  <c:v>2825</c:v>
                </c:pt>
                <c:pt idx="5">
                  <c:v>3150</c:v>
                </c:pt>
                <c:pt idx="6">
                  <c:v>3500</c:v>
                </c:pt>
                <c:pt idx="7">
                  <c:v>3900</c:v>
                </c:pt>
                <c:pt idx="8">
                  <c:v>4350</c:v>
                </c:pt>
                <c:pt idx="9">
                  <c:v>4850</c:v>
                </c:pt>
                <c:pt idx="10">
                  <c:v>5400</c:v>
                </c:pt>
                <c:pt idx="11">
                  <c:v>6025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8-4AAB-BF06-190D83B13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฿&quot;#,##0;[Red]\(&quot;฿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 12 Units by Default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M12 units</c:v>
          </c:tx>
          <c:invertIfNegative val="1"/>
          <c:cat>
            <c:strRef>
              <c:f>Dashboard!$A$35:$A$37</c:f>
              <c:strCache>
                <c:ptCount val="3"/>
                <c:pt idx="0">
                  <c:v>Bad / 30%</c:v>
                </c:pt>
                <c:pt idx="1">
                  <c:v>Base / 50%</c:v>
                </c:pt>
                <c:pt idx="2">
                  <c:v>Good / 70%</c:v>
                </c:pt>
              </c:strCache>
            </c:strRef>
          </c:cat>
          <c:val>
            <c:numRef>
              <c:f>Dashboard!$B$35:$B$37</c:f>
              <c:numCache>
                <c:formatCode>#,##0;[Red]\(#,##0\);\-</c:formatCode>
                <c:ptCount val="3"/>
                <c:pt idx="0">
                  <c:v>75</c:v>
                </c:pt>
                <c:pt idx="1">
                  <c:v>75</c:v>
                </c:pt>
                <c:pt idx="2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F-4567-BC78-4831A390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InputsTable" displayName="ScenarioInputsTable" ref="A28:H32">
  <tableColumns count="8">
    <tableColumn id="1" xr3:uid="{00000000-0010-0000-0000-000001000000}" name="Scenario"/>
    <tableColumn id="2" xr3:uid="{00000000-0010-0000-0000-000002000000}" name="CPA %"/>
    <tableColumn id="3" xr3:uid="{00000000-0010-0000-0000-000003000000}" name="CPA"/>
    <tableColumn id="4" xr3:uid="{00000000-0010-0000-0000-000004000000}" name="Reinvest %"/>
    <tableColumn id="5" xr3:uid="{00000000-0010-0000-0000-000005000000}" name="Net profit / unit"/>
    <tableColumn id="6" xr3:uid="{00000000-0010-0000-0000-000006000000}" name="ROAS"/>
    <tableColumn id="7" xr3:uid="{00000000-0010-0000-0000-000007000000}" name="MER"/>
    <tableColumn id="8" xr3:uid="{00000000-0010-0000-0000-000008000000}" name="CPA cushion vs break-ev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MatrixTable" displayName="ScenarioMatrixTable" ref="A5:O14">
  <tableColumns count="15">
    <tableColumn id="1" xr3:uid="{00000000-0010-0000-0100-000001000000}" name="Combo"/>
    <tableColumn id="2" xr3:uid="{00000000-0010-0000-0100-000002000000}" name="CPA case"/>
    <tableColumn id="3" xr3:uid="{00000000-0010-0000-0100-000003000000}" name="CPA"/>
    <tableColumn id="4" xr3:uid="{00000000-0010-0000-0100-000004000000}" name="Reinvest %"/>
    <tableColumn id="5" xr3:uid="{00000000-0010-0000-0100-000005000000}" name="M1 units"/>
    <tableColumn id="6" xr3:uid="{00000000-0010-0000-0100-000006000000}" name="M6 units"/>
    <tableColumn id="7" xr3:uid="{00000000-0010-0000-0100-000007000000}" name="M12 units"/>
    <tableColumn id="8" xr3:uid="{00000000-0010-0000-0100-000008000000}" name="M12 net profit"/>
    <tableColumn id="9" xr3:uid="{00000000-0010-0000-0100-000009000000}" name="Cumulative net profit"/>
    <tableColumn id="10" xr3:uid="{00000000-0010-0000-0100-00000A000000}" name="Cash kept"/>
    <tableColumn id="11" xr3:uid="{00000000-0010-0000-0100-00000B000000}" name="Reinvested total"/>
    <tableColumn id="12" xr3:uid="{00000000-0010-0000-0100-00000C000000}" name="M12 ad spend"/>
    <tableColumn id="13" xr3:uid="{00000000-0010-0000-0100-00000D000000}" name="ROAS"/>
    <tableColumn id="14" xr3:uid="{00000000-0010-0000-0100-00000E000000}" name="MER"/>
    <tableColumn id="15" xr3:uid="{00000000-0010-0000-0100-00000F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ecksTable" displayName="ChecksTable" ref="A5:H13">
  <tableColumns count="8">
    <tableColumn id="1" xr3:uid="{00000000-0010-0000-0200-000001000000}" name="Check"/>
    <tableColumn id="2" xr3:uid="{00000000-0010-0000-0200-000002000000}" name="Actual"/>
    <tableColumn id="3" xr3:uid="{00000000-0010-0000-0200-000003000000}" name="Expected"/>
    <tableColumn id="4" xr3:uid="{00000000-0010-0000-0200-000004000000}" name="Difference"/>
    <tableColumn id="5" xr3:uid="{00000000-0010-0000-0200-000005000000}" name="Tolerance"/>
    <tableColumn id="6" xr3:uid="{00000000-0010-0000-0200-000006000000}" name="Status"/>
    <tableColumn id="7" xr3:uid="{00000000-0010-0000-0200-000007000000}" name="Fix hint"/>
    <tableColumn id="8" xr3:uid="{00000000-0010-0000-0200-000008000000}" name="Loc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5:F11">
  <tableColumns count="6">
    <tableColumn id="1" xr3:uid="{00000000-0010-0000-0300-000001000000}" name="Item"/>
    <tableColumn id="2" xr3:uid="{00000000-0010-0000-0300-000002000000}" name="Value / Logic"/>
    <tableColumn id="3" xr3:uid="{00000000-0010-0000-0300-000003000000}" name="Unit"/>
    <tableColumn id="4" xr3:uid="{00000000-0010-0000-0300-000004000000}" name="As of"/>
    <tableColumn id="5" xr3:uid="{00000000-0010-0000-0300-000005000000}" name="Source"/>
    <tableColumn id="6" xr3:uid="{00000000-0010-0000-03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showGridLines="0" topLeftCell="A2" zoomScale="70" zoomScaleNormal="70" workbookViewId="0">
      <selection activeCell="N30" sqref="N30"/>
    </sheetView>
  </sheetViews>
  <sheetFormatPr defaultRowHeight="13.8"/>
  <cols>
    <col min="1" max="1" width="18.69921875" customWidth="1"/>
    <col min="2" max="2" width="19.3984375" customWidth="1"/>
    <col min="3" max="3" width="18.09765625" customWidth="1"/>
    <col min="4" max="4" width="16.8984375" customWidth="1"/>
    <col min="5" max="5" width="18.09765625" customWidth="1"/>
    <col min="6" max="6" width="15.59765625" customWidth="1"/>
    <col min="7" max="7" width="17.5" customWidth="1"/>
    <col min="8" max="8" width="18.09765625" customWidth="1"/>
    <col min="9" max="9" width="16.8984375" customWidth="1"/>
    <col min="10" max="10" width="18.09765625" customWidth="1"/>
    <col min="11" max="11" width="16.8984375" customWidth="1"/>
    <col min="12" max="12" width="15.59765625" customWidth="1"/>
  </cols>
  <sheetData>
    <row r="1" spans="1:12" ht="43.5" customHeight="1">
      <c r="A1" s="154" t="s">
        <v>0</v>
      </c>
      <c r="B1" s="154" t="s">
        <v>0</v>
      </c>
      <c r="C1" s="154" t="s">
        <v>0</v>
      </c>
      <c r="D1" s="154" t="s">
        <v>0</v>
      </c>
      <c r="E1" s="154" t="s">
        <v>0</v>
      </c>
      <c r="F1" s="154" t="s">
        <v>0</v>
      </c>
      <c r="G1" s="154" t="s">
        <v>0</v>
      </c>
      <c r="H1" s="154" t="s">
        <v>0</v>
      </c>
      <c r="I1" s="154" t="s">
        <v>0</v>
      </c>
      <c r="J1" s="154" t="s">
        <v>0</v>
      </c>
      <c r="K1" s="154" t="s">
        <v>0</v>
      </c>
      <c r="L1" s="154" t="s">
        <v>0</v>
      </c>
    </row>
    <row r="2" spans="1:12" ht="43.5" customHeight="1">
      <c r="A2" s="154" t="s">
        <v>0</v>
      </c>
      <c r="B2" s="154" t="s">
        <v>0</v>
      </c>
      <c r="C2" s="154" t="s">
        <v>0</v>
      </c>
      <c r="D2" s="154" t="s">
        <v>0</v>
      </c>
      <c r="E2" s="154" t="s">
        <v>0</v>
      </c>
      <c r="F2" s="154" t="s">
        <v>0</v>
      </c>
      <c r="G2" s="154" t="s">
        <v>0</v>
      </c>
      <c r="H2" s="154" t="s">
        <v>0</v>
      </c>
      <c r="I2" s="154" t="s">
        <v>0</v>
      </c>
      <c r="J2" s="154" t="s">
        <v>0</v>
      </c>
      <c r="K2" s="154" t="s">
        <v>0</v>
      </c>
      <c r="L2" s="154" t="s">
        <v>0</v>
      </c>
    </row>
    <row r="4" spans="1:12">
      <c r="A4" s="155" t="s">
        <v>1</v>
      </c>
      <c r="B4" s="155" t="s">
        <v>1</v>
      </c>
      <c r="C4" s="155" t="s">
        <v>1</v>
      </c>
      <c r="D4" s="155" t="s">
        <v>1</v>
      </c>
      <c r="E4" s="155" t="s">
        <v>1</v>
      </c>
      <c r="F4" s="155" t="s">
        <v>1</v>
      </c>
      <c r="G4" s="155" t="s">
        <v>1</v>
      </c>
      <c r="H4" s="155" t="s">
        <v>1</v>
      </c>
      <c r="I4" s="155" t="s">
        <v>1</v>
      </c>
      <c r="J4" s="155" t="s">
        <v>1</v>
      </c>
      <c r="K4" s="155" t="s">
        <v>1</v>
      </c>
      <c r="L4" s="155" t="s">
        <v>1</v>
      </c>
    </row>
    <row r="5" spans="1:12">
      <c r="A5" s="34" t="s">
        <v>2</v>
      </c>
      <c r="B5" s="35" t="s">
        <v>3</v>
      </c>
      <c r="C5" s="35" t="s">
        <v>2</v>
      </c>
      <c r="D5" s="35" t="s">
        <v>3</v>
      </c>
      <c r="E5" s="35" t="s">
        <v>2</v>
      </c>
      <c r="F5" s="35" t="s">
        <v>3</v>
      </c>
      <c r="G5" s="35" t="s">
        <v>2</v>
      </c>
      <c r="H5" s="35" t="s">
        <v>3</v>
      </c>
      <c r="I5" s="35" t="s">
        <v>2</v>
      </c>
      <c r="J5" s="35" t="s">
        <v>3</v>
      </c>
      <c r="K5" s="35" t="s">
        <v>2</v>
      </c>
      <c r="L5" s="36" t="s">
        <v>3</v>
      </c>
    </row>
    <row r="6" spans="1:12">
      <c r="A6" s="58" t="s">
        <v>4</v>
      </c>
      <c r="B6" s="116" t="str">
        <f>Inputs!B6</f>
        <v>Sample Product</v>
      </c>
      <c r="C6" s="117" t="s">
        <v>5</v>
      </c>
      <c r="D6" s="122">
        <f>Inputs!B7</f>
        <v>300</v>
      </c>
      <c r="E6" s="117" t="s">
        <v>6</v>
      </c>
      <c r="F6" s="123">
        <f>Inputs!B8</f>
        <v>75</v>
      </c>
      <c r="G6" s="117" t="s">
        <v>7</v>
      </c>
      <c r="H6" s="122">
        <f>Inputs!B24</f>
        <v>200</v>
      </c>
      <c r="I6" s="122" t="s">
        <v>8</v>
      </c>
      <c r="J6" s="122">
        <f>Inputs!B25</f>
        <v>100</v>
      </c>
      <c r="K6" s="118" t="s">
        <v>9</v>
      </c>
      <c r="L6" s="118" t="str">
        <f>Checks!F3</f>
        <v>Review</v>
      </c>
    </row>
    <row r="7" spans="1:12">
      <c r="A7" s="60" t="s">
        <v>10</v>
      </c>
      <c r="B7" s="124">
        <f>MAX('Scenario Matrix'!H6:H14)</f>
        <v>6025</v>
      </c>
      <c r="C7" s="119" t="s">
        <v>11</v>
      </c>
      <c r="D7" s="119" t="str">
        <f>INDEX('Scenario Matrix'!A6:A14,MATCH(MAX('Scenario Matrix'!H6:H14),'Scenario Matrix'!H6:H14,0))</f>
        <v>Good / 70%</v>
      </c>
      <c r="E7" s="119" t="s">
        <v>12</v>
      </c>
      <c r="F7" s="125">
        <f>INDEX('Scenario Matrix'!G6:G14,MATCH(MAX('Scenario Matrix'!H6:H14),'Scenario Matrix'!H6:H14,0))</f>
        <v>241</v>
      </c>
      <c r="G7" s="119" t="s">
        <v>13</v>
      </c>
      <c r="H7" s="126">
        <f>MAX('Scenario Matrix'!I6:I14)</f>
        <v>42800</v>
      </c>
      <c r="I7" s="126" t="s">
        <v>14</v>
      </c>
      <c r="J7" s="126">
        <f>'Cost Builder'!C13</f>
        <v>11250</v>
      </c>
      <c r="K7" s="120" t="s">
        <v>15</v>
      </c>
      <c r="L7" s="127">
        <f>'Cost Builder'!C10</f>
        <v>3</v>
      </c>
    </row>
    <row r="8" spans="1:12">
      <c r="A8" s="62" t="s">
        <v>16</v>
      </c>
      <c r="B8" s="128">
        <f>Inputs!C29</f>
        <v>126</v>
      </c>
      <c r="C8" s="129" t="s">
        <v>17</v>
      </c>
      <c r="D8" s="129">
        <f>Inputs!C30</f>
        <v>96</v>
      </c>
      <c r="E8" s="129" t="s">
        <v>18</v>
      </c>
      <c r="F8" s="129">
        <f>Inputs!C31</f>
        <v>66</v>
      </c>
      <c r="G8" s="121" t="s">
        <v>19</v>
      </c>
      <c r="H8" s="130">
        <f>Inputs!D29</f>
        <v>0.3</v>
      </c>
      <c r="I8" s="130" t="s">
        <v>20</v>
      </c>
      <c r="J8" s="130">
        <f>Inputs!D30</f>
        <v>0.5</v>
      </c>
      <c r="K8" s="131" t="s">
        <v>21</v>
      </c>
      <c r="L8" s="131">
        <f>Inputs!D31</f>
        <v>0.7</v>
      </c>
    </row>
    <row r="10" spans="1:12">
      <c r="A10" s="155" t="s">
        <v>22</v>
      </c>
      <c r="B10" s="155" t="s">
        <v>22</v>
      </c>
      <c r="C10" s="155" t="s">
        <v>22</v>
      </c>
      <c r="D10" s="155" t="s">
        <v>22</v>
      </c>
      <c r="E10" s="155" t="s">
        <v>22</v>
      </c>
      <c r="F10" s="155" t="s">
        <v>22</v>
      </c>
      <c r="H10" s="155" t="s">
        <v>23</v>
      </c>
      <c r="I10" s="155" t="s">
        <v>23</v>
      </c>
      <c r="J10" s="155" t="s">
        <v>23</v>
      </c>
      <c r="K10" s="155" t="s">
        <v>23</v>
      </c>
      <c r="L10" s="155" t="s">
        <v>23</v>
      </c>
    </row>
    <row r="11" spans="1:12" ht="27.6">
      <c r="A11" s="1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3" t="s">
        <v>29</v>
      </c>
      <c r="H11" s="139" t="s">
        <v>30</v>
      </c>
      <c r="I11" s="79" t="s">
        <v>31</v>
      </c>
      <c r="J11" s="79"/>
      <c r="K11" s="79"/>
      <c r="L11" s="80"/>
    </row>
    <row r="12" spans="1:12">
      <c r="A12" s="4" t="s">
        <v>32</v>
      </c>
      <c r="B12" s="132">
        <f>'Scenario Matrix'!C6</f>
        <v>126</v>
      </c>
      <c r="C12" s="133">
        <f>'Scenario Matrix'!D6</f>
        <v>0.3</v>
      </c>
      <c r="D12" s="123">
        <f>'Scenario Matrix'!G6</f>
        <v>75</v>
      </c>
      <c r="E12" s="122">
        <f>'Scenario Matrix'!H6</f>
        <v>-2625</v>
      </c>
      <c r="F12" s="136">
        <f>'Scenario Matrix'!I6</f>
        <v>-31500</v>
      </c>
      <c r="H12" s="140" t="s">
        <v>33</v>
      </c>
      <c r="I12" s="82" t="s">
        <v>34</v>
      </c>
      <c r="J12" s="82"/>
      <c r="K12" s="82"/>
      <c r="L12" s="83"/>
    </row>
    <row r="13" spans="1:12">
      <c r="A13" s="5" t="s">
        <v>35</v>
      </c>
      <c r="B13" s="124">
        <f>'Scenario Matrix'!C10</f>
        <v>96</v>
      </c>
      <c r="C13" s="134">
        <f>'Scenario Matrix'!D10</f>
        <v>0.5</v>
      </c>
      <c r="D13" s="125">
        <f>'Scenario Matrix'!G10</f>
        <v>75</v>
      </c>
      <c r="E13" s="126">
        <f>'Scenario Matrix'!H10</f>
        <v>-375</v>
      </c>
      <c r="F13" s="137">
        <f>'Scenario Matrix'!I10</f>
        <v>-4500</v>
      </c>
      <c r="H13" s="140" t="s">
        <v>36</v>
      </c>
      <c r="I13" s="82" t="s">
        <v>37</v>
      </c>
      <c r="J13" s="82"/>
      <c r="K13" s="82"/>
      <c r="L13" s="83"/>
    </row>
    <row r="14" spans="1:12">
      <c r="A14" s="6" t="s">
        <v>38</v>
      </c>
      <c r="B14" s="128">
        <f>'Scenario Matrix'!C14</f>
        <v>66</v>
      </c>
      <c r="C14" s="130">
        <f>'Scenario Matrix'!D14</f>
        <v>0.7</v>
      </c>
      <c r="D14" s="135">
        <f>'Scenario Matrix'!G14</f>
        <v>241</v>
      </c>
      <c r="E14" s="129">
        <f>'Scenario Matrix'!H14</f>
        <v>6025</v>
      </c>
      <c r="F14" s="138">
        <f>'Scenario Matrix'!I14</f>
        <v>42800</v>
      </c>
      <c r="H14" s="140" t="s">
        <v>39</v>
      </c>
      <c r="I14" s="82" t="s">
        <v>40</v>
      </c>
      <c r="J14" s="82"/>
      <c r="K14" s="82"/>
      <c r="L14" s="83"/>
    </row>
    <row r="15" spans="1:12">
      <c r="H15" s="141" t="s">
        <v>41</v>
      </c>
      <c r="I15" s="85" t="s">
        <v>42</v>
      </c>
      <c r="J15" s="85"/>
      <c r="K15" s="85"/>
      <c r="L15" s="86"/>
    </row>
    <row r="17" spans="1:4">
      <c r="A17" s="155" t="s">
        <v>43</v>
      </c>
      <c r="B17" s="155" t="s">
        <v>43</v>
      </c>
      <c r="C17" s="155" t="s">
        <v>43</v>
      </c>
      <c r="D17" s="155" t="s">
        <v>43</v>
      </c>
    </row>
    <row r="18" spans="1:4">
      <c r="A18" s="1" t="s">
        <v>44</v>
      </c>
      <c r="B18" s="2" t="s">
        <v>32</v>
      </c>
      <c r="C18" s="2" t="s">
        <v>35</v>
      </c>
      <c r="D18" s="3" t="s">
        <v>38</v>
      </c>
    </row>
    <row r="19" spans="1:4">
      <c r="A19" s="4" t="s">
        <v>45</v>
      </c>
      <c r="B19" s="132">
        <f>Roadmap!B12</f>
        <v>-2625</v>
      </c>
      <c r="C19" s="122">
        <f>Roadmap!B31</f>
        <v>-375</v>
      </c>
      <c r="D19" s="136">
        <f>Roadmap!B50</f>
        <v>1875</v>
      </c>
    </row>
    <row r="20" spans="1:4">
      <c r="A20" s="5" t="s">
        <v>46</v>
      </c>
      <c r="B20" s="124">
        <f>Roadmap!C12</f>
        <v>-2625</v>
      </c>
      <c r="C20" s="126">
        <f>Roadmap!C31</f>
        <v>-375</v>
      </c>
      <c r="D20" s="137">
        <f>Roadmap!C50</f>
        <v>2075</v>
      </c>
    </row>
    <row r="21" spans="1:4">
      <c r="A21" s="5" t="s">
        <v>47</v>
      </c>
      <c r="B21" s="124">
        <f>Roadmap!D12</f>
        <v>-2625</v>
      </c>
      <c r="C21" s="126">
        <f>Roadmap!D31</f>
        <v>-375</v>
      </c>
      <c r="D21" s="137">
        <f>Roadmap!D50</f>
        <v>2300</v>
      </c>
    </row>
    <row r="22" spans="1:4">
      <c r="A22" s="5" t="s">
        <v>48</v>
      </c>
      <c r="B22" s="124">
        <f>Roadmap!E12</f>
        <v>-2625</v>
      </c>
      <c r="C22" s="126">
        <f>Roadmap!E31</f>
        <v>-375</v>
      </c>
      <c r="D22" s="137">
        <f>Roadmap!E50</f>
        <v>2550</v>
      </c>
    </row>
    <row r="23" spans="1:4">
      <c r="A23" s="5" t="s">
        <v>49</v>
      </c>
      <c r="B23" s="124">
        <f>Roadmap!F12</f>
        <v>-2625</v>
      </c>
      <c r="C23" s="126">
        <f>Roadmap!F31</f>
        <v>-375</v>
      </c>
      <c r="D23" s="137">
        <f>Roadmap!F50</f>
        <v>2825</v>
      </c>
    </row>
    <row r="24" spans="1:4">
      <c r="A24" s="5" t="s">
        <v>50</v>
      </c>
      <c r="B24" s="124">
        <f>Roadmap!G12</f>
        <v>-2625</v>
      </c>
      <c r="C24" s="126">
        <f>Roadmap!G31</f>
        <v>-375</v>
      </c>
      <c r="D24" s="137">
        <f>Roadmap!G50</f>
        <v>3150</v>
      </c>
    </row>
    <row r="25" spans="1:4">
      <c r="A25" s="5" t="s">
        <v>51</v>
      </c>
      <c r="B25" s="124">
        <f>Roadmap!H12</f>
        <v>-2625</v>
      </c>
      <c r="C25" s="126">
        <f>Roadmap!H31</f>
        <v>-375</v>
      </c>
      <c r="D25" s="137">
        <f>Roadmap!H50</f>
        <v>3500</v>
      </c>
    </row>
    <row r="26" spans="1:4">
      <c r="A26" s="5" t="s">
        <v>52</v>
      </c>
      <c r="B26" s="124">
        <f>Roadmap!I12</f>
        <v>-2625</v>
      </c>
      <c r="C26" s="126">
        <f>Roadmap!I31</f>
        <v>-375</v>
      </c>
      <c r="D26" s="137">
        <f>Roadmap!I50</f>
        <v>3900</v>
      </c>
    </row>
    <row r="27" spans="1:4">
      <c r="A27" s="5" t="s">
        <v>53</v>
      </c>
      <c r="B27" s="124">
        <f>Roadmap!J12</f>
        <v>-2625</v>
      </c>
      <c r="C27" s="126">
        <f>Roadmap!J31</f>
        <v>-375</v>
      </c>
      <c r="D27" s="137">
        <f>Roadmap!J50</f>
        <v>4350</v>
      </c>
    </row>
    <row r="28" spans="1:4">
      <c r="A28" s="5" t="s">
        <v>54</v>
      </c>
      <c r="B28" s="124">
        <f>Roadmap!K12</f>
        <v>-2625</v>
      </c>
      <c r="C28" s="126">
        <f>Roadmap!K31</f>
        <v>-375</v>
      </c>
      <c r="D28" s="137">
        <f>Roadmap!K50</f>
        <v>4850</v>
      </c>
    </row>
    <row r="29" spans="1:4">
      <c r="A29" s="5" t="s">
        <v>55</v>
      </c>
      <c r="B29" s="124">
        <f>Roadmap!L12</f>
        <v>-2625</v>
      </c>
      <c r="C29" s="126">
        <f>Roadmap!L31</f>
        <v>-375</v>
      </c>
      <c r="D29" s="137">
        <f>Roadmap!L50</f>
        <v>5400</v>
      </c>
    </row>
    <row r="30" spans="1:4">
      <c r="A30" s="6" t="s">
        <v>56</v>
      </c>
      <c r="B30" s="128">
        <f>Roadmap!M12</f>
        <v>-2625</v>
      </c>
      <c r="C30" s="129">
        <f>Roadmap!M31</f>
        <v>-375</v>
      </c>
      <c r="D30" s="138">
        <f>Roadmap!M50</f>
        <v>6025</v>
      </c>
    </row>
    <row r="33" spans="1:4">
      <c r="A33" s="155" t="s">
        <v>57</v>
      </c>
      <c r="B33" s="155" t="s">
        <v>57</v>
      </c>
      <c r="C33" s="155" t="s">
        <v>57</v>
      </c>
      <c r="D33" s="155" t="s">
        <v>57</v>
      </c>
    </row>
    <row r="34" spans="1:4" ht="27.6">
      <c r="A34" s="1" t="s">
        <v>24</v>
      </c>
      <c r="B34" s="2" t="s">
        <v>27</v>
      </c>
      <c r="C34" s="2" t="s">
        <v>28</v>
      </c>
      <c r="D34" s="3" t="s">
        <v>29</v>
      </c>
    </row>
    <row r="35" spans="1:4">
      <c r="A35" s="4" t="s">
        <v>32</v>
      </c>
      <c r="B35" s="142">
        <f>'Scenario Matrix'!G6</f>
        <v>75</v>
      </c>
      <c r="C35" s="122">
        <f>'Scenario Matrix'!H6</f>
        <v>-2625</v>
      </c>
      <c r="D35" s="136">
        <f>'Scenario Matrix'!I6</f>
        <v>-31500</v>
      </c>
    </row>
    <row r="36" spans="1:4">
      <c r="A36" s="5" t="s">
        <v>35</v>
      </c>
      <c r="B36" s="143">
        <f>'Scenario Matrix'!G10</f>
        <v>75</v>
      </c>
      <c r="C36" s="126">
        <f>'Scenario Matrix'!H10</f>
        <v>-375</v>
      </c>
      <c r="D36" s="137">
        <f>'Scenario Matrix'!I10</f>
        <v>-4500</v>
      </c>
    </row>
    <row r="37" spans="1:4">
      <c r="A37" s="6" t="s">
        <v>38</v>
      </c>
      <c r="B37" s="144">
        <f>'Scenario Matrix'!G14</f>
        <v>241</v>
      </c>
      <c r="C37" s="129">
        <f>'Scenario Matrix'!H14</f>
        <v>6025</v>
      </c>
      <c r="D37" s="138">
        <f>'Scenario Matrix'!I14</f>
        <v>42800</v>
      </c>
    </row>
  </sheetData>
  <mergeCells count="6">
    <mergeCell ref="A33:D33"/>
    <mergeCell ref="A1:L2"/>
    <mergeCell ref="A4:L4"/>
    <mergeCell ref="A10:F10"/>
    <mergeCell ref="H10:L10"/>
    <mergeCell ref="A17:D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tabSelected="1" zoomScale="80" zoomScaleNormal="80" workbookViewId="0">
      <selection activeCell="B7" sqref="B7"/>
    </sheetView>
  </sheetViews>
  <sheetFormatPr defaultRowHeight="13.8"/>
  <cols>
    <col min="1" max="1" width="28.3984375" bestFit="1" customWidth="1"/>
    <col min="2" max="2" width="23.69921875" customWidth="1"/>
    <col min="3" max="3" width="53.69921875" customWidth="1"/>
    <col min="4" max="4" width="13.69921875" customWidth="1"/>
    <col min="5" max="5" width="25.59765625" customWidth="1"/>
    <col min="6" max="6" width="16.8984375" customWidth="1"/>
    <col min="7" max="7" width="18.69921875" customWidth="1"/>
    <col min="8" max="8" width="29.3984375" customWidth="1"/>
  </cols>
  <sheetData>
    <row r="1" spans="1:8" ht="43.5" customHeight="1">
      <c r="A1" s="154" t="s">
        <v>58</v>
      </c>
      <c r="B1" s="154" t="s">
        <v>58</v>
      </c>
      <c r="C1" s="154" t="s">
        <v>58</v>
      </c>
      <c r="D1" s="154" t="s">
        <v>58</v>
      </c>
      <c r="E1" s="154" t="s">
        <v>58</v>
      </c>
      <c r="F1" s="154" t="s">
        <v>58</v>
      </c>
      <c r="G1" s="154" t="s">
        <v>58</v>
      </c>
      <c r="H1" s="154" t="s">
        <v>58</v>
      </c>
    </row>
    <row r="2" spans="1:8" ht="43.5" customHeight="1">
      <c r="A2" s="154" t="s">
        <v>58</v>
      </c>
      <c r="B2" s="154" t="s">
        <v>58</v>
      </c>
      <c r="C2" s="154" t="s">
        <v>58</v>
      </c>
      <c r="D2" s="154" t="s">
        <v>58</v>
      </c>
      <c r="E2" s="154" t="s">
        <v>58</v>
      </c>
      <c r="F2" s="154" t="s">
        <v>58</v>
      </c>
      <c r="G2" s="154" t="s">
        <v>58</v>
      </c>
      <c r="H2" s="154" t="s">
        <v>58</v>
      </c>
    </row>
    <row r="4" spans="1:8">
      <c r="A4" s="155" t="s">
        <v>59</v>
      </c>
      <c r="B4" s="155" t="s">
        <v>59</v>
      </c>
      <c r="C4" s="155" t="s">
        <v>59</v>
      </c>
      <c r="D4" s="155" t="s">
        <v>59</v>
      </c>
      <c r="E4" s="155" t="s">
        <v>59</v>
      </c>
      <c r="F4" s="155" t="s">
        <v>59</v>
      </c>
      <c r="G4" s="155" t="s">
        <v>59</v>
      </c>
      <c r="H4" s="155" t="s">
        <v>59</v>
      </c>
    </row>
    <row r="5" spans="1:8">
      <c r="A5" s="1" t="s">
        <v>60</v>
      </c>
      <c r="B5" s="2" t="s">
        <v>3</v>
      </c>
      <c r="C5" s="3" t="s">
        <v>61</v>
      </c>
      <c r="E5" s="156" t="s">
        <v>62</v>
      </c>
      <c r="F5" s="156" t="s">
        <v>62</v>
      </c>
      <c r="G5" s="156" t="s">
        <v>62</v>
      </c>
      <c r="H5" s="156" t="s">
        <v>62</v>
      </c>
    </row>
    <row r="6" spans="1:8">
      <c r="A6" s="4" t="s">
        <v>63</v>
      </c>
      <c r="B6" s="7" t="s">
        <v>64</v>
      </c>
      <c r="C6" s="8" t="s">
        <v>65</v>
      </c>
      <c r="E6" s="1" t="s">
        <v>66</v>
      </c>
      <c r="F6" s="2" t="s">
        <v>67</v>
      </c>
      <c r="G6" s="2" t="s">
        <v>68</v>
      </c>
      <c r="H6" s="3" t="s">
        <v>69</v>
      </c>
    </row>
    <row r="7" spans="1:8">
      <c r="A7" s="5" t="s">
        <v>70</v>
      </c>
      <c r="B7" s="11">
        <v>300</v>
      </c>
      <c r="C7" s="9" t="s">
        <v>71</v>
      </c>
      <c r="E7" s="19" t="s">
        <v>72</v>
      </c>
      <c r="F7" s="20" t="s">
        <v>73</v>
      </c>
      <c r="G7" s="28" t="s">
        <v>74</v>
      </c>
      <c r="H7" s="21" t="s">
        <v>75</v>
      </c>
    </row>
    <row r="8" spans="1:8">
      <c r="A8" s="5" t="s">
        <v>76</v>
      </c>
      <c r="B8" s="12">
        <v>75</v>
      </c>
      <c r="C8" s="9" t="s">
        <v>77</v>
      </c>
      <c r="E8" s="22" t="s">
        <v>78</v>
      </c>
      <c r="F8" s="23" t="s">
        <v>79</v>
      </c>
      <c r="G8" s="23" t="s">
        <v>80</v>
      </c>
      <c r="H8" s="24" t="s">
        <v>81</v>
      </c>
    </row>
    <row r="9" spans="1:8">
      <c r="A9" s="5" t="s">
        <v>82</v>
      </c>
      <c r="B9" s="12">
        <v>12</v>
      </c>
      <c r="C9" s="9" t="s">
        <v>83</v>
      </c>
      <c r="E9" s="25" t="s">
        <v>84</v>
      </c>
      <c r="F9" s="26" t="s">
        <v>85</v>
      </c>
      <c r="G9" s="29" t="s">
        <v>86</v>
      </c>
      <c r="H9" s="27" t="s">
        <v>87</v>
      </c>
    </row>
    <row r="10" spans="1:8">
      <c r="A10" s="5" t="s">
        <v>88</v>
      </c>
      <c r="B10" s="13">
        <v>1</v>
      </c>
      <c r="C10" s="9" t="s">
        <v>89</v>
      </c>
    </row>
    <row r="11" spans="1:8">
      <c r="A11" s="5" t="s">
        <v>90</v>
      </c>
      <c r="B11" s="13">
        <v>0.03</v>
      </c>
      <c r="C11" s="9" t="s">
        <v>91</v>
      </c>
      <c r="E11" s="155" t="s">
        <v>92</v>
      </c>
      <c r="F11" s="155" t="s">
        <v>92</v>
      </c>
      <c r="G11" s="155" t="s">
        <v>92</v>
      </c>
      <c r="H11" s="155" t="s">
        <v>92</v>
      </c>
    </row>
    <row r="12" spans="1:8" ht="28.5" customHeight="1">
      <c r="A12" s="5" t="s">
        <v>93</v>
      </c>
      <c r="B12" s="11">
        <v>0</v>
      </c>
      <c r="C12" s="9" t="s">
        <v>94</v>
      </c>
      <c r="E12" s="1" t="s">
        <v>24</v>
      </c>
      <c r="F12" s="2" t="s">
        <v>95</v>
      </c>
      <c r="G12" s="2" t="s">
        <v>96</v>
      </c>
      <c r="H12" s="3" t="s">
        <v>97</v>
      </c>
    </row>
    <row r="13" spans="1:8">
      <c r="A13" s="6" t="s">
        <v>98</v>
      </c>
      <c r="B13" s="14">
        <v>0.5</v>
      </c>
      <c r="C13" s="10" t="s">
        <v>99</v>
      </c>
      <c r="E13" s="4" t="s">
        <v>16</v>
      </c>
      <c r="F13" s="31">
        <v>0.42</v>
      </c>
      <c r="G13" s="17">
        <f>ROUND($B$7*F13,0)</f>
        <v>126</v>
      </c>
      <c r="H13" s="31">
        <v>0.3</v>
      </c>
    </row>
    <row r="14" spans="1:8">
      <c r="A14" s="155" t="s">
        <v>100</v>
      </c>
      <c r="B14" s="155" t="s">
        <v>100</v>
      </c>
      <c r="C14" s="155" t="s">
        <v>100</v>
      </c>
      <c r="E14" s="5" t="s">
        <v>17</v>
      </c>
      <c r="F14" s="13">
        <v>0.32</v>
      </c>
      <c r="G14" s="33">
        <f>ROUND($B$7*F14,0)</f>
        <v>96</v>
      </c>
      <c r="H14" s="13">
        <v>0.5</v>
      </c>
    </row>
    <row r="15" spans="1:8">
      <c r="A15" s="1" t="s">
        <v>60</v>
      </c>
      <c r="B15" s="2" t="s">
        <v>3</v>
      </c>
      <c r="C15" s="3" t="s">
        <v>61</v>
      </c>
      <c r="E15" s="5" t="s">
        <v>18</v>
      </c>
      <c r="F15" s="14">
        <v>0.22</v>
      </c>
      <c r="G15" s="33">
        <f>ROUND($B$7*F15,0)</f>
        <v>66</v>
      </c>
      <c r="H15" s="14">
        <v>0.7</v>
      </c>
    </row>
    <row r="16" spans="1:8">
      <c r="A16" s="4" t="s">
        <v>101</v>
      </c>
      <c r="B16" s="15">
        <v>150</v>
      </c>
      <c r="C16" s="8" t="s">
        <v>102</v>
      </c>
      <c r="E16" s="6" t="s">
        <v>8</v>
      </c>
      <c r="F16" s="32">
        <f>$B$25/$B$7</f>
        <v>0.33333333333333331</v>
      </c>
      <c r="G16" s="18">
        <f>$B$25</f>
        <v>100</v>
      </c>
      <c r="H16" s="30" t="s">
        <v>103</v>
      </c>
    </row>
    <row r="17" spans="1:8">
      <c r="A17" s="5" t="s">
        <v>104</v>
      </c>
      <c r="B17" s="11">
        <v>10</v>
      </c>
      <c r="C17" s="9" t="s">
        <v>105</v>
      </c>
    </row>
    <row r="18" spans="1:8">
      <c r="A18" s="5" t="s">
        <v>106</v>
      </c>
      <c r="B18" s="11">
        <v>10</v>
      </c>
      <c r="C18" s="9" t="s">
        <v>107</v>
      </c>
      <c r="E18" s="155" t="s">
        <v>108</v>
      </c>
      <c r="F18" s="155" t="s">
        <v>108</v>
      </c>
      <c r="G18" s="155" t="s">
        <v>108</v>
      </c>
      <c r="H18" s="155" t="s">
        <v>108</v>
      </c>
    </row>
    <row r="19" spans="1:8">
      <c r="A19" s="5" t="s">
        <v>109</v>
      </c>
      <c r="B19" s="11">
        <v>30</v>
      </c>
      <c r="C19" s="9" t="s">
        <v>110</v>
      </c>
      <c r="E19" s="1" t="s">
        <v>111</v>
      </c>
      <c r="F19" s="2" t="s">
        <v>18</v>
      </c>
      <c r="G19" s="2" t="s">
        <v>17</v>
      </c>
      <c r="H19" s="3" t="s">
        <v>112</v>
      </c>
    </row>
    <row r="20" spans="1:8">
      <c r="A20" s="5" t="s">
        <v>113</v>
      </c>
      <c r="B20" s="11">
        <v>0</v>
      </c>
      <c r="C20" s="9" t="s">
        <v>114</v>
      </c>
      <c r="E20" s="19" t="s">
        <v>115</v>
      </c>
      <c r="F20" s="20" t="s">
        <v>116</v>
      </c>
      <c r="G20" s="20" t="s">
        <v>117</v>
      </c>
      <c r="H20" s="21" t="s">
        <v>118</v>
      </c>
    </row>
    <row r="21" spans="1:8">
      <c r="A21" s="5" t="s">
        <v>119</v>
      </c>
      <c r="B21" s="11">
        <v>0</v>
      </c>
      <c r="C21" s="9" t="s">
        <v>120</v>
      </c>
      <c r="E21" s="22" t="s">
        <v>121</v>
      </c>
      <c r="F21" s="23" t="s">
        <v>122</v>
      </c>
      <c r="G21" s="23" t="s">
        <v>123</v>
      </c>
      <c r="H21" s="24" t="s">
        <v>124</v>
      </c>
    </row>
    <row r="22" spans="1:8">
      <c r="A22" s="5" t="s">
        <v>125</v>
      </c>
      <c r="B22" s="13">
        <v>0</v>
      </c>
      <c r="C22" s="9" t="s">
        <v>126</v>
      </c>
      <c r="E22" s="25" t="s">
        <v>127</v>
      </c>
      <c r="F22" s="26" t="s">
        <v>128</v>
      </c>
      <c r="G22" s="26" t="s">
        <v>129</v>
      </c>
      <c r="H22" s="27" t="s">
        <v>130</v>
      </c>
    </row>
    <row r="23" spans="1:8">
      <c r="A23" s="5" t="s">
        <v>131</v>
      </c>
      <c r="B23" s="16">
        <v>0</v>
      </c>
      <c r="C23" s="9" t="s">
        <v>132</v>
      </c>
    </row>
    <row r="24" spans="1:8">
      <c r="A24" s="5" t="s">
        <v>133</v>
      </c>
      <c r="B24" s="17">
        <f>SUM(B16:B21)+B7*B22+B23</f>
        <v>200</v>
      </c>
      <c r="C24" s="9" t="s">
        <v>134</v>
      </c>
    </row>
    <row r="25" spans="1:8">
      <c r="A25" s="6" t="s">
        <v>135</v>
      </c>
      <c r="B25" s="18">
        <f>B7-B24</f>
        <v>100</v>
      </c>
      <c r="C25" s="10" t="s">
        <v>134</v>
      </c>
    </row>
    <row r="27" spans="1:8">
      <c r="A27" s="155" t="s">
        <v>136</v>
      </c>
      <c r="B27" s="155" t="s">
        <v>136</v>
      </c>
      <c r="C27" s="155" t="s">
        <v>136</v>
      </c>
      <c r="D27" s="155" t="s">
        <v>136</v>
      </c>
      <c r="E27" s="155" t="s">
        <v>136</v>
      </c>
      <c r="F27" s="155" t="s">
        <v>136</v>
      </c>
      <c r="G27" s="155" t="s">
        <v>136</v>
      </c>
      <c r="H27" s="155" t="s">
        <v>136</v>
      </c>
    </row>
    <row r="28" spans="1:8" ht="25.5" customHeight="1">
      <c r="A28" s="34" t="s">
        <v>24</v>
      </c>
      <c r="B28" s="35" t="s">
        <v>137</v>
      </c>
      <c r="C28" s="35" t="s">
        <v>25</v>
      </c>
      <c r="D28" s="35" t="s">
        <v>26</v>
      </c>
      <c r="E28" s="35" t="s">
        <v>138</v>
      </c>
      <c r="F28" s="35" t="s">
        <v>139</v>
      </c>
      <c r="G28" s="35" t="s">
        <v>140</v>
      </c>
      <c r="H28" s="36" t="s">
        <v>141</v>
      </c>
    </row>
    <row r="29" spans="1:8">
      <c r="A29" s="4" t="s">
        <v>16</v>
      </c>
      <c r="B29" s="43">
        <f t="shared" ref="B29:D31" si="0">F13</f>
        <v>0.42</v>
      </c>
      <c r="C29" s="46">
        <f t="shared" si="0"/>
        <v>126</v>
      </c>
      <c r="D29" s="49">
        <f t="shared" si="0"/>
        <v>0.3</v>
      </c>
      <c r="E29" s="46">
        <f>$B$25-C29</f>
        <v>-26</v>
      </c>
      <c r="F29" s="52">
        <f>$B$7/C29</f>
        <v>2.3809523809523809</v>
      </c>
      <c r="G29" s="49">
        <f>C29/$B$7</f>
        <v>0.42</v>
      </c>
      <c r="H29" s="55">
        <f>$B$25-C29</f>
        <v>-26</v>
      </c>
    </row>
    <row r="30" spans="1:8">
      <c r="A30" s="5" t="s">
        <v>17</v>
      </c>
      <c r="B30" s="44">
        <f t="shared" si="0"/>
        <v>0.32</v>
      </c>
      <c r="C30" s="47">
        <f t="shared" si="0"/>
        <v>96</v>
      </c>
      <c r="D30" s="50">
        <f t="shared" si="0"/>
        <v>0.5</v>
      </c>
      <c r="E30" s="47">
        <f>$B$25-C30</f>
        <v>4</v>
      </c>
      <c r="F30" s="53">
        <f>$B$7/C30</f>
        <v>3.125</v>
      </c>
      <c r="G30" s="50">
        <f>C30/$B$7</f>
        <v>0.32</v>
      </c>
      <c r="H30" s="56">
        <f>$B$25-C30</f>
        <v>4</v>
      </c>
    </row>
    <row r="31" spans="1:8">
      <c r="A31" s="5" t="s">
        <v>18</v>
      </c>
      <c r="B31" s="44">
        <f t="shared" si="0"/>
        <v>0.22</v>
      </c>
      <c r="C31" s="47">
        <f t="shared" si="0"/>
        <v>66</v>
      </c>
      <c r="D31" s="50">
        <f t="shared" si="0"/>
        <v>0.7</v>
      </c>
      <c r="E31" s="47">
        <f>$B$25-C31</f>
        <v>34</v>
      </c>
      <c r="F31" s="53">
        <f>$B$7/C31</f>
        <v>4.5454545454545459</v>
      </c>
      <c r="G31" s="50">
        <f>C31/$B$7</f>
        <v>0.22</v>
      </c>
      <c r="H31" s="56">
        <f>$B$25-C31</f>
        <v>34</v>
      </c>
    </row>
    <row r="32" spans="1:8">
      <c r="A32" s="6" t="s">
        <v>142</v>
      </c>
      <c r="B32" s="45">
        <f>F16</f>
        <v>0.33333333333333331</v>
      </c>
      <c r="C32" s="48">
        <f>G16</f>
        <v>100</v>
      </c>
      <c r="D32" s="51"/>
      <c r="E32" s="48">
        <f>$B$25-C32</f>
        <v>0</v>
      </c>
      <c r="F32" s="54">
        <f>$B$7/C32</f>
        <v>3</v>
      </c>
      <c r="G32" s="51">
        <f>C32/$B$7</f>
        <v>0.33333333333333331</v>
      </c>
      <c r="H32" s="57">
        <f>$B$25-C32</f>
        <v>0</v>
      </c>
    </row>
  </sheetData>
  <mergeCells count="7">
    <mergeCell ref="E18:H18"/>
    <mergeCell ref="A27:H27"/>
    <mergeCell ref="A1:H2"/>
    <mergeCell ref="A4:H4"/>
    <mergeCell ref="A14:C14"/>
    <mergeCell ref="E5:H5"/>
    <mergeCell ref="E11:H1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showGridLines="0" topLeftCell="A17" workbookViewId="0">
      <selection sqref="A1:H2"/>
    </sheetView>
  </sheetViews>
  <sheetFormatPr defaultRowHeight="13.8"/>
  <cols>
    <col min="1" max="1" width="28.69921875" customWidth="1"/>
    <col min="2" max="2" width="18.69921875" customWidth="1"/>
    <col min="3" max="3" width="18.09765625" customWidth="1"/>
    <col min="4" max="4" width="16.8984375" customWidth="1"/>
    <col min="5" max="5" width="18.09765625" customWidth="1"/>
    <col min="6" max="6" width="15" customWidth="1"/>
    <col min="7" max="8" width="12.5" customWidth="1"/>
    <col min="10" max="10" width="23.69921875" customWidth="1"/>
    <col min="11" max="11" width="33.69921875" customWidth="1"/>
    <col min="12" max="13" width="7.5" customWidth="1"/>
  </cols>
  <sheetData>
    <row r="1" spans="1:13" ht="43.5" customHeight="1">
      <c r="A1" s="154" t="s">
        <v>143</v>
      </c>
      <c r="B1" s="154" t="s">
        <v>143</v>
      </c>
      <c r="C1" s="154" t="s">
        <v>143</v>
      </c>
      <c r="D1" s="154" t="s">
        <v>143</v>
      </c>
      <c r="E1" s="154" t="s">
        <v>143</v>
      </c>
      <c r="F1" s="154" t="s">
        <v>143</v>
      </c>
      <c r="G1" s="154" t="s">
        <v>143</v>
      </c>
      <c r="H1" s="154" t="s">
        <v>143</v>
      </c>
    </row>
    <row r="2" spans="1:13" ht="43.5" customHeight="1">
      <c r="A2" s="154" t="s">
        <v>143</v>
      </c>
      <c r="B2" s="154" t="s">
        <v>143</v>
      </c>
      <c r="C2" s="154" t="s">
        <v>143</v>
      </c>
      <c r="D2" s="154" t="s">
        <v>143</v>
      </c>
      <c r="E2" s="154" t="s">
        <v>143</v>
      </c>
      <c r="F2" s="154" t="s">
        <v>143</v>
      </c>
      <c r="G2" s="154" t="s">
        <v>143</v>
      </c>
      <c r="H2" s="154" t="s">
        <v>143</v>
      </c>
    </row>
    <row r="4" spans="1:13">
      <c r="A4" s="155" t="s">
        <v>144</v>
      </c>
      <c r="B4" s="155" t="s">
        <v>144</v>
      </c>
      <c r="C4" s="155" t="s">
        <v>144</v>
      </c>
      <c r="D4" s="155" t="s">
        <v>144</v>
      </c>
      <c r="E4" s="155" t="s">
        <v>144</v>
      </c>
      <c r="F4" s="155" t="s">
        <v>144</v>
      </c>
      <c r="G4" s="155" t="s">
        <v>144</v>
      </c>
      <c r="H4" s="155" t="s">
        <v>144</v>
      </c>
      <c r="J4" s="157" t="s">
        <v>145</v>
      </c>
      <c r="K4" s="157"/>
      <c r="L4" s="157"/>
      <c r="M4" s="157"/>
    </row>
    <row r="5" spans="1:13">
      <c r="A5" s="34" t="s">
        <v>2</v>
      </c>
      <c r="B5" s="35" t="s">
        <v>146</v>
      </c>
      <c r="C5" s="35" t="s">
        <v>3</v>
      </c>
      <c r="D5" s="35" t="s">
        <v>61</v>
      </c>
      <c r="E5" s="35" t="s">
        <v>16</v>
      </c>
      <c r="F5" s="35" t="s">
        <v>17</v>
      </c>
      <c r="G5" s="35" t="s">
        <v>18</v>
      </c>
      <c r="H5" s="36" t="s">
        <v>142</v>
      </c>
      <c r="J5" s="78" t="s">
        <v>147</v>
      </c>
      <c r="K5" s="79" t="s">
        <v>148</v>
      </c>
      <c r="L5" s="79"/>
      <c r="M5" s="80"/>
    </row>
    <row r="6" spans="1:13">
      <c r="A6" s="58" t="s">
        <v>5</v>
      </c>
      <c r="B6" s="59" t="s">
        <v>149</v>
      </c>
      <c r="C6" s="64">
        <f>Inputs!B7</f>
        <v>300</v>
      </c>
      <c r="D6" t="s">
        <v>150</v>
      </c>
      <c r="E6" s="69">
        <f>Inputs!C29</f>
        <v>126</v>
      </c>
      <c r="F6" s="46">
        <f>Inputs!C30</f>
        <v>96</v>
      </c>
      <c r="G6" s="46">
        <f>Inputs!C31</f>
        <v>66</v>
      </c>
      <c r="H6" s="55">
        <f>Inputs!C32</f>
        <v>100</v>
      </c>
      <c r="J6" s="81" t="s">
        <v>151</v>
      </c>
      <c r="K6" s="82" t="s">
        <v>152</v>
      </c>
      <c r="L6" s="82"/>
      <c r="M6" s="83"/>
    </row>
    <row r="7" spans="1:13">
      <c r="A7" s="60" t="s">
        <v>153</v>
      </c>
      <c r="B7" s="61" t="s">
        <v>154</v>
      </c>
      <c r="C7" s="65">
        <f>Inputs!B24</f>
        <v>200</v>
      </c>
      <c r="D7" t="s">
        <v>155</v>
      </c>
      <c r="E7" s="70">
        <f>Inputs!B24</f>
        <v>200</v>
      </c>
      <c r="F7" s="47">
        <f>Inputs!B24</f>
        <v>200</v>
      </c>
      <c r="G7" s="47">
        <f>Inputs!B24</f>
        <v>200</v>
      </c>
      <c r="H7" s="56">
        <f>Inputs!B24</f>
        <v>200</v>
      </c>
      <c r="J7" s="81" t="s">
        <v>156</v>
      </c>
      <c r="K7" s="82" t="s">
        <v>157</v>
      </c>
      <c r="L7" s="82"/>
      <c r="M7" s="83"/>
    </row>
    <row r="8" spans="1:13">
      <c r="A8" s="60" t="s">
        <v>158</v>
      </c>
      <c r="B8" s="61" t="s">
        <v>159</v>
      </c>
      <c r="C8" s="65">
        <f>Inputs!B25</f>
        <v>100</v>
      </c>
      <c r="D8" t="s">
        <v>160</v>
      </c>
      <c r="E8" s="70">
        <f>Inputs!B7-Inputs!B24-E6</f>
        <v>-26</v>
      </c>
      <c r="F8" s="47">
        <f>Inputs!B7-Inputs!B24-F6</f>
        <v>4</v>
      </c>
      <c r="G8" s="47">
        <f>Inputs!B7-Inputs!B24-G6</f>
        <v>34</v>
      </c>
      <c r="H8" s="56">
        <f>Inputs!B7-Inputs!B24-H6</f>
        <v>0</v>
      </c>
      <c r="J8" s="84" t="s">
        <v>161</v>
      </c>
      <c r="K8" s="85" t="s">
        <v>162</v>
      </c>
      <c r="L8" s="85"/>
      <c r="M8" s="86"/>
    </row>
    <row r="9" spans="1:13">
      <c r="A9" s="60" t="s">
        <v>163</v>
      </c>
      <c r="B9" s="61" t="s">
        <v>164</v>
      </c>
      <c r="C9" s="66">
        <f>Inputs!B24/Inputs!B7</f>
        <v>0.66666666666666663</v>
      </c>
      <c r="D9" t="s">
        <v>165</v>
      </c>
      <c r="E9" s="44">
        <f>Inputs!B24/Inputs!B7</f>
        <v>0.66666666666666663</v>
      </c>
      <c r="F9" s="50">
        <f>Inputs!B24/Inputs!B7</f>
        <v>0.66666666666666663</v>
      </c>
      <c r="G9" s="50">
        <f>Inputs!B24/Inputs!B7</f>
        <v>0.66666666666666663</v>
      </c>
      <c r="H9" s="71">
        <f>Inputs!B24/Inputs!B7</f>
        <v>0.66666666666666663</v>
      </c>
    </row>
    <row r="10" spans="1:13">
      <c r="A10" s="60" t="s">
        <v>15</v>
      </c>
      <c r="B10" s="61" t="s">
        <v>166</v>
      </c>
      <c r="C10" s="67">
        <f>Inputs!B7/Inputs!B25</f>
        <v>3</v>
      </c>
      <c r="D10" t="s">
        <v>167</v>
      </c>
      <c r="E10" s="72">
        <f>Inputs!B7/E6</f>
        <v>2.3809523809523809</v>
      </c>
      <c r="F10" s="53">
        <f>Inputs!B7/F6</f>
        <v>3.125</v>
      </c>
      <c r="G10" s="53">
        <f>Inputs!B7/G6</f>
        <v>4.5454545454545459</v>
      </c>
      <c r="H10" s="73">
        <f>Inputs!B7/H6</f>
        <v>3</v>
      </c>
    </row>
    <row r="11" spans="1:13">
      <c r="A11" s="60" t="s">
        <v>8</v>
      </c>
      <c r="B11" s="61" t="s">
        <v>158</v>
      </c>
      <c r="C11" s="65">
        <f>Inputs!B25</f>
        <v>100</v>
      </c>
      <c r="D11" t="s">
        <v>168</v>
      </c>
      <c r="E11" s="70">
        <f>Inputs!B25-E6</f>
        <v>-26</v>
      </c>
      <c r="F11" s="47">
        <f>Inputs!B25-F6</f>
        <v>4</v>
      </c>
      <c r="G11" s="47">
        <f>Inputs!B25-G6</f>
        <v>34</v>
      </c>
      <c r="H11" s="56">
        <f>Inputs!B25-H6</f>
        <v>0</v>
      </c>
    </row>
    <row r="12" spans="1:13">
      <c r="A12" s="60" t="s">
        <v>93</v>
      </c>
      <c r="B12" s="61" t="s">
        <v>169</v>
      </c>
      <c r="C12" s="65">
        <f>Inputs!B12</f>
        <v>0</v>
      </c>
      <c r="D12" t="s">
        <v>170</v>
      </c>
      <c r="E12" s="70">
        <f>Inputs!B12</f>
        <v>0</v>
      </c>
      <c r="F12" s="47">
        <f>Inputs!B12</f>
        <v>0</v>
      </c>
      <c r="G12" s="47">
        <f>Inputs!B12</f>
        <v>0</v>
      </c>
      <c r="H12" s="56">
        <f>Inputs!B12</f>
        <v>0</v>
      </c>
    </row>
    <row r="13" spans="1:13">
      <c r="A13" s="62" t="s">
        <v>171</v>
      </c>
      <c r="B13" s="63" t="s">
        <v>172</v>
      </c>
      <c r="C13" s="68">
        <f>Inputs!B8*Inputs!B16</f>
        <v>11250</v>
      </c>
      <c r="D13" t="s">
        <v>173</v>
      </c>
      <c r="E13" s="74">
        <f>Inputs!B8*Inputs!B16</f>
        <v>11250</v>
      </c>
      <c r="F13" s="48">
        <f>Inputs!B8*Inputs!B16</f>
        <v>11250</v>
      </c>
      <c r="G13" s="48">
        <f>Inputs!B8*Inputs!B16</f>
        <v>11250</v>
      </c>
      <c r="H13" s="57">
        <f>Inputs!B8*Inputs!B16</f>
        <v>11250</v>
      </c>
    </row>
    <row r="16" spans="1:13">
      <c r="A16" s="155" t="s">
        <v>174</v>
      </c>
      <c r="B16" s="155" t="s">
        <v>174</v>
      </c>
      <c r="C16" s="155" t="s">
        <v>174</v>
      </c>
      <c r="D16" s="155" t="s">
        <v>174</v>
      </c>
      <c r="E16" s="155" t="s">
        <v>174</v>
      </c>
      <c r="F16" s="155" t="s">
        <v>174</v>
      </c>
      <c r="G16" s="155" t="s">
        <v>174</v>
      </c>
      <c r="H16" s="155" t="s">
        <v>174</v>
      </c>
    </row>
    <row r="17" spans="1:8">
      <c r="A17" s="1" t="s">
        <v>24</v>
      </c>
      <c r="B17" s="2" t="s">
        <v>175</v>
      </c>
      <c r="C17" s="2" t="s">
        <v>176</v>
      </c>
      <c r="D17" s="2" t="s">
        <v>25</v>
      </c>
      <c r="E17" s="2" t="s">
        <v>138</v>
      </c>
      <c r="F17" s="2" t="s">
        <v>177</v>
      </c>
      <c r="G17" s="2" t="s">
        <v>139</v>
      </c>
      <c r="H17" s="3" t="s">
        <v>140</v>
      </c>
    </row>
    <row r="18" spans="1:8">
      <c r="A18" s="4" t="s">
        <v>16</v>
      </c>
      <c r="B18" s="69">
        <f>Inputs!B7</f>
        <v>300</v>
      </c>
      <c r="C18" s="46">
        <f>Inputs!B24</f>
        <v>200</v>
      </c>
      <c r="D18" s="46">
        <f>Inputs!C29</f>
        <v>126</v>
      </c>
      <c r="E18" s="46">
        <f>B18-C18-D18</f>
        <v>-26</v>
      </c>
      <c r="F18" s="49">
        <f>E18/B18</f>
        <v>-8.666666666666667E-2</v>
      </c>
      <c r="G18" s="52">
        <f>B18/D18</f>
        <v>2.3809523809523809</v>
      </c>
      <c r="H18" s="75">
        <f>D18/B18</f>
        <v>0.42</v>
      </c>
    </row>
    <row r="19" spans="1:8">
      <c r="A19" s="5" t="s">
        <v>17</v>
      </c>
      <c r="B19" s="70">
        <f>Inputs!B7</f>
        <v>300</v>
      </c>
      <c r="C19" s="47">
        <f>Inputs!B24</f>
        <v>200</v>
      </c>
      <c r="D19" s="47">
        <f>Inputs!C30</f>
        <v>96</v>
      </c>
      <c r="E19" s="47">
        <f>B19-C19-D19</f>
        <v>4</v>
      </c>
      <c r="F19" s="50">
        <f>E19/B19</f>
        <v>1.3333333333333334E-2</v>
      </c>
      <c r="G19" s="53">
        <f>B19/D19</f>
        <v>3.125</v>
      </c>
      <c r="H19" s="71">
        <f>D19/B19</f>
        <v>0.32</v>
      </c>
    </row>
    <row r="20" spans="1:8">
      <c r="A20" s="5" t="s">
        <v>18</v>
      </c>
      <c r="B20" s="70">
        <f>Inputs!B7</f>
        <v>300</v>
      </c>
      <c r="C20" s="47">
        <f>Inputs!B24</f>
        <v>200</v>
      </c>
      <c r="D20" s="47">
        <f>Inputs!C31</f>
        <v>66</v>
      </c>
      <c r="E20" s="47">
        <f>B20-C20-D20</f>
        <v>34</v>
      </c>
      <c r="F20" s="50">
        <f>E20/B20</f>
        <v>0.11333333333333333</v>
      </c>
      <c r="G20" s="53">
        <f>B20/D20</f>
        <v>4.5454545454545459</v>
      </c>
      <c r="H20" s="71">
        <f>D20/B20</f>
        <v>0.22</v>
      </c>
    </row>
    <row r="21" spans="1:8">
      <c r="A21" s="6" t="s">
        <v>142</v>
      </c>
      <c r="B21" s="74">
        <f>Inputs!B7</f>
        <v>300</v>
      </c>
      <c r="C21" s="48">
        <f>Inputs!B24</f>
        <v>200</v>
      </c>
      <c r="D21" s="48">
        <f>Inputs!C32</f>
        <v>100</v>
      </c>
      <c r="E21" s="48">
        <f>B21-C21-D21</f>
        <v>0</v>
      </c>
      <c r="F21" s="51">
        <f>E21/B21</f>
        <v>0</v>
      </c>
      <c r="G21" s="54">
        <f>B21/D21</f>
        <v>3</v>
      </c>
      <c r="H21" s="76">
        <f>D21/B21</f>
        <v>0.33333333333333331</v>
      </c>
    </row>
  </sheetData>
  <mergeCells count="4">
    <mergeCell ref="A1:H2"/>
    <mergeCell ref="A4:H4"/>
    <mergeCell ref="A16:H16"/>
    <mergeCell ref="J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showGridLines="0" topLeftCell="A17" workbookViewId="0">
      <selection activeCell="M8" sqref="A8:M8"/>
    </sheetView>
  </sheetViews>
  <sheetFormatPr defaultRowHeight="13.8"/>
  <cols>
    <col min="1" max="1" width="26.19921875" customWidth="1"/>
    <col min="2" max="13" width="11.8984375" customWidth="1"/>
  </cols>
  <sheetData>
    <row r="1" spans="1:13" ht="43.5" customHeight="1">
      <c r="A1" s="154" t="s">
        <v>178</v>
      </c>
      <c r="B1" s="154" t="s">
        <v>178</v>
      </c>
      <c r="C1" s="154" t="s">
        <v>178</v>
      </c>
      <c r="D1" s="154" t="s">
        <v>178</v>
      </c>
      <c r="E1" s="154" t="s">
        <v>178</v>
      </c>
      <c r="F1" s="154" t="s">
        <v>178</v>
      </c>
      <c r="G1" s="154" t="s">
        <v>178</v>
      </c>
      <c r="H1" s="154" t="s">
        <v>178</v>
      </c>
      <c r="I1" s="154" t="s">
        <v>178</v>
      </c>
      <c r="J1" s="154" t="s">
        <v>178</v>
      </c>
      <c r="K1" s="154" t="s">
        <v>178</v>
      </c>
      <c r="L1" s="154" t="s">
        <v>178</v>
      </c>
      <c r="M1" s="154" t="s">
        <v>178</v>
      </c>
    </row>
    <row r="2" spans="1:13" ht="43.5" customHeight="1">
      <c r="A2" s="154" t="s">
        <v>178</v>
      </c>
      <c r="B2" s="154" t="s">
        <v>178</v>
      </c>
      <c r="C2" s="154" t="s">
        <v>178</v>
      </c>
      <c r="D2" s="154" t="s">
        <v>178</v>
      </c>
      <c r="E2" s="154" t="s">
        <v>178</v>
      </c>
      <c r="F2" s="154" t="s">
        <v>178</v>
      </c>
      <c r="G2" s="154" t="s">
        <v>178</v>
      </c>
      <c r="H2" s="154" t="s">
        <v>178</v>
      </c>
      <c r="I2" s="154" t="s">
        <v>178</v>
      </c>
      <c r="J2" s="154" t="s">
        <v>178</v>
      </c>
      <c r="K2" s="154" t="s">
        <v>178</v>
      </c>
      <c r="L2" s="154" t="s">
        <v>178</v>
      </c>
      <c r="M2" s="154" t="s">
        <v>178</v>
      </c>
    </row>
    <row r="4" spans="1:13">
      <c r="A4" s="158" t="s">
        <v>179</v>
      </c>
      <c r="B4" s="158" t="s">
        <v>179</v>
      </c>
      <c r="C4" s="158" t="s">
        <v>179</v>
      </c>
      <c r="D4" s="158" t="s">
        <v>179</v>
      </c>
      <c r="E4" s="158" t="s">
        <v>179</v>
      </c>
      <c r="F4" s="158" t="s">
        <v>179</v>
      </c>
      <c r="G4" s="158" t="s">
        <v>179</v>
      </c>
      <c r="H4" s="158" t="s">
        <v>179</v>
      </c>
      <c r="I4" s="158" t="s">
        <v>179</v>
      </c>
      <c r="J4" s="158" t="s">
        <v>179</v>
      </c>
      <c r="K4" s="158" t="s">
        <v>179</v>
      </c>
      <c r="L4" s="158" t="s">
        <v>179</v>
      </c>
      <c r="M4" s="158" t="s">
        <v>179</v>
      </c>
    </row>
    <row r="5" spans="1:13">
      <c r="A5" s="87" t="s">
        <v>2</v>
      </c>
      <c r="B5" s="88" t="s">
        <v>45</v>
      </c>
      <c r="C5" s="88" t="s">
        <v>46</v>
      </c>
      <c r="D5" s="88" t="s">
        <v>47</v>
      </c>
      <c r="E5" s="88" t="s">
        <v>48</v>
      </c>
      <c r="F5" s="88" t="s">
        <v>49</v>
      </c>
      <c r="G5" s="88" t="s">
        <v>50</v>
      </c>
      <c r="H5" s="88" t="s">
        <v>51</v>
      </c>
      <c r="I5" s="88" t="s">
        <v>52</v>
      </c>
      <c r="J5" s="88" t="s">
        <v>53</v>
      </c>
      <c r="K5" s="88" t="s">
        <v>54</v>
      </c>
      <c r="L5" s="88" t="s">
        <v>55</v>
      </c>
      <c r="M5" s="89" t="s">
        <v>56</v>
      </c>
    </row>
    <row r="6" spans="1:13">
      <c r="A6" s="90" t="s">
        <v>180</v>
      </c>
      <c r="B6" s="93">
        <f>Inputs!$B$8</f>
        <v>75</v>
      </c>
      <c r="C6" s="94">
        <f>MIN(FLOOR(B6*(1+Inputs!$B$13),1),B6+B15)</f>
        <v>75</v>
      </c>
      <c r="D6" s="94">
        <f>MIN(FLOOR(C6*(1+Inputs!$B$13),1),C6+C15)</f>
        <v>75</v>
      </c>
      <c r="E6" s="94">
        <f>MIN(FLOOR(D6*(1+Inputs!$B$13),1),D6+D15)</f>
        <v>75</v>
      </c>
      <c r="F6" s="94">
        <f>MIN(FLOOR(E6*(1+Inputs!$B$13),1),E6+E15)</f>
        <v>75</v>
      </c>
      <c r="G6" s="94">
        <f>MIN(FLOOR(F6*(1+Inputs!$B$13),1),F6+F15)</f>
        <v>75</v>
      </c>
      <c r="H6" s="94">
        <f>MIN(FLOOR(G6*(1+Inputs!$B$13),1),G6+G15)</f>
        <v>75</v>
      </c>
      <c r="I6" s="94">
        <f>MIN(FLOOR(H6*(1+Inputs!$B$13),1),H6+H15)</f>
        <v>75</v>
      </c>
      <c r="J6" s="94">
        <f>MIN(FLOOR(I6*(1+Inputs!$B$13),1),I6+I15)</f>
        <v>75</v>
      </c>
      <c r="K6" s="94">
        <f>MIN(FLOOR(J6*(1+Inputs!$B$13),1),J6+J15)</f>
        <v>75</v>
      </c>
      <c r="L6" s="94">
        <f>MIN(FLOOR(K6*(1+Inputs!$B$13),1),K6+K15)</f>
        <v>75</v>
      </c>
      <c r="M6" s="95">
        <f>MIN(FLOOR(L6*(1+Inputs!$B$13),1),L6+L15)</f>
        <v>75</v>
      </c>
    </row>
    <row r="7" spans="1:13">
      <c r="A7" s="91" t="s">
        <v>181</v>
      </c>
      <c r="B7" s="96">
        <f>B6*Inputs!$B$10</f>
        <v>75</v>
      </c>
      <c r="C7" s="97">
        <f>C6*Inputs!$B$10</f>
        <v>75</v>
      </c>
      <c r="D7" s="97">
        <f>D6*Inputs!$B$10</f>
        <v>75</v>
      </c>
      <c r="E7" s="97">
        <f>E6*Inputs!$B$10</f>
        <v>75</v>
      </c>
      <c r="F7" s="97">
        <f>F6*Inputs!$B$10</f>
        <v>75</v>
      </c>
      <c r="G7" s="97">
        <f>G6*Inputs!$B$10</f>
        <v>75</v>
      </c>
      <c r="H7" s="97">
        <f>H6*Inputs!$B$10</f>
        <v>75</v>
      </c>
      <c r="I7" s="97">
        <f>I6*Inputs!$B$10</f>
        <v>75</v>
      </c>
      <c r="J7" s="97">
        <f>J6*Inputs!$B$10</f>
        <v>75</v>
      </c>
      <c r="K7" s="97">
        <f>K6*Inputs!$B$10</f>
        <v>75</v>
      </c>
      <c r="L7" s="97">
        <f>L6*Inputs!$B$10</f>
        <v>75</v>
      </c>
      <c r="M7" s="98">
        <f>M6*Inputs!$B$10</f>
        <v>75</v>
      </c>
    </row>
    <row r="8" spans="1:13">
      <c r="A8" s="91" t="s">
        <v>182</v>
      </c>
      <c r="B8" s="70">
        <f>B7*Inputs!$B$7*(1-Inputs!$B$11)</f>
        <v>21825</v>
      </c>
      <c r="C8" s="47">
        <f>C7*Inputs!$B$7*(1-Inputs!$B$11)</f>
        <v>21825</v>
      </c>
      <c r="D8" s="47">
        <f>D7*Inputs!$B$7*(1-Inputs!$B$11)</f>
        <v>21825</v>
      </c>
      <c r="E8" s="47">
        <f>E7*Inputs!$B$7*(1-Inputs!$B$11)</f>
        <v>21825</v>
      </c>
      <c r="F8" s="47">
        <f>F7*Inputs!$B$7*(1-Inputs!$B$11)</f>
        <v>21825</v>
      </c>
      <c r="G8" s="47">
        <f>G7*Inputs!$B$7*(1-Inputs!$B$11)</f>
        <v>21825</v>
      </c>
      <c r="H8" s="47">
        <f>H7*Inputs!$B$7*(1-Inputs!$B$11)</f>
        <v>21825</v>
      </c>
      <c r="I8" s="47">
        <f>I7*Inputs!$B$7*(1-Inputs!$B$11)</f>
        <v>21825</v>
      </c>
      <c r="J8" s="47">
        <f>J7*Inputs!$B$7*(1-Inputs!$B$11)</f>
        <v>21825</v>
      </c>
      <c r="K8" s="47">
        <f>K7*Inputs!$B$7*(1-Inputs!$B$11)</f>
        <v>21825</v>
      </c>
      <c r="L8" s="47">
        <f>L7*Inputs!$B$7*(1-Inputs!$B$11)</f>
        <v>21825</v>
      </c>
      <c r="M8" s="56">
        <f>M7*Inputs!$B$7*(1-Inputs!$B$11)</f>
        <v>21825</v>
      </c>
    </row>
    <row r="9" spans="1:13">
      <c r="A9" s="91" t="s">
        <v>153</v>
      </c>
      <c r="B9" s="70">
        <f>B7*Inputs!$B$24</f>
        <v>15000</v>
      </c>
      <c r="C9" s="47">
        <f>C7*Inputs!$B$24</f>
        <v>15000</v>
      </c>
      <c r="D9" s="47">
        <f>D7*Inputs!$B$24</f>
        <v>15000</v>
      </c>
      <c r="E9" s="47">
        <f>E7*Inputs!$B$24</f>
        <v>15000</v>
      </c>
      <c r="F9" s="47">
        <f>F7*Inputs!$B$24</f>
        <v>15000</v>
      </c>
      <c r="G9" s="47">
        <f>G7*Inputs!$B$24</f>
        <v>15000</v>
      </c>
      <c r="H9" s="47">
        <f>H7*Inputs!$B$24</f>
        <v>15000</v>
      </c>
      <c r="I9" s="47">
        <f>I7*Inputs!$B$24</f>
        <v>15000</v>
      </c>
      <c r="J9" s="47">
        <f>J7*Inputs!$B$24</f>
        <v>15000</v>
      </c>
      <c r="K9" s="47">
        <f>K7*Inputs!$B$24</f>
        <v>15000</v>
      </c>
      <c r="L9" s="47">
        <f>L7*Inputs!$B$24</f>
        <v>15000</v>
      </c>
      <c r="M9" s="56">
        <f>M7*Inputs!$B$24</f>
        <v>15000</v>
      </c>
    </row>
    <row r="10" spans="1:13">
      <c r="A10" s="91" t="s">
        <v>183</v>
      </c>
      <c r="B10" s="70">
        <f>B7*Inputs!$C$29</f>
        <v>9450</v>
      </c>
      <c r="C10" s="47">
        <f>C7*Inputs!$C$29</f>
        <v>9450</v>
      </c>
      <c r="D10" s="47">
        <f>D7*Inputs!$C$29</f>
        <v>9450</v>
      </c>
      <c r="E10" s="47">
        <f>E7*Inputs!$C$29</f>
        <v>9450</v>
      </c>
      <c r="F10" s="47">
        <f>F7*Inputs!$C$29</f>
        <v>9450</v>
      </c>
      <c r="G10" s="47">
        <f>G7*Inputs!$C$29</f>
        <v>9450</v>
      </c>
      <c r="H10" s="47">
        <f>H7*Inputs!$C$29</f>
        <v>9450</v>
      </c>
      <c r="I10" s="47">
        <f>I7*Inputs!$C$29</f>
        <v>9450</v>
      </c>
      <c r="J10" s="47">
        <f>J7*Inputs!$C$29</f>
        <v>9450</v>
      </c>
      <c r="K10" s="47">
        <f>K7*Inputs!$C$29</f>
        <v>9450</v>
      </c>
      <c r="L10" s="47">
        <f>L7*Inputs!$C$29</f>
        <v>9450</v>
      </c>
      <c r="M10" s="56">
        <f>M7*Inputs!$C$29</f>
        <v>9450</v>
      </c>
    </row>
    <row r="11" spans="1:13">
      <c r="A11" s="91" t="s">
        <v>184</v>
      </c>
      <c r="B11" s="70">
        <f>Inputs!$B$12</f>
        <v>0</v>
      </c>
      <c r="C11" s="47">
        <f>Inputs!$B$12</f>
        <v>0</v>
      </c>
      <c r="D11" s="47">
        <f>Inputs!$B$12</f>
        <v>0</v>
      </c>
      <c r="E11" s="47">
        <f>Inputs!$B$12</f>
        <v>0</v>
      </c>
      <c r="F11" s="47">
        <f>Inputs!$B$12</f>
        <v>0</v>
      </c>
      <c r="G11" s="47">
        <f>Inputs!$B$12</f>
        <v>0</v>
      </c>
      <c r="H11" s="47">
        <f>Inputs!$B$12</f>
        <v>0</v>
      </c>
      <c r="I11" s="47">
        <f>Inputs!$B$12</f>
        <v>0</v>
      </c>
      <c r="J11" s="47">
        <f>Inputs!$B$12</f>
        <v>0</v>
      </c>
      <c r="K11" s="47">
        <f>Inputs!$B$12</f>
        <v>0</v>
      </c>
      <c r="L11" s="47">
        <f>Inputs!$B$12</f>
        <v>0</v>
      </c>
      <c r="M11" s="56">
        <f>Inputs!$B$12</f>
        <v>0</v>
      </c>
    </row>
    <row r="12" spans="1:13">
      <c r="A12" s="91" t="s">
        <v>185</v>
      </c>
      <c r="B12" s="70">
        <f t="shared" ref="B12:M12" si="0">B8-B9-B10-B11</f>
        <v>-2625</v>
      </c>
      <c r="C12" s="47">
        <f t="shared" si="0"/>
        <v>-2625</v>
      </c>
      <c r="D12" s="47">
        <f t="shared" si="0"/>
        <v>-2625</v>
      </c>
      <c r="E12" s="47">
        <f t="shared" si="0"/>
        <v>-2625</v>
      </c>
      <c r="F12" s="47">
        <f t="shared" si="0"/>
        <v>-2625</v>
      </c>
      <c r="G12" s="47">
        <f t="shared" si="0"/>
        <v>-2625</v>
      </c>
      <c r="H12" s="47">
        <f t="shared" si="0"/>
        <v>-2625</v>
      </c>
      <c r="I12" s="47">
        <f t="shared" si="0"/>
        <v>-2625</v>
      </c>
      <c r="J12" s="47">
        <f t="shared" si="0"/>
        <v>-2625</v>
      </c>
      <c r="K12" s="47">
        <f t="shared" si="0"/>
        <v>-2625</v>
      </c>
      <c r="L12" s="47">
        <f t="shared" si="0"/>
        <v>-2625</v>
      </c>
      <c r="M12" s="56">
        <f t="shared" si="0"/>
        <v>-2625</v>
      </c>
    </row>
    <row r="13" spans="1:13">
      <c r="A13" s="91" t="s">
        <v>186</v>
      </c>
      <c r="B13" s="70">
        <f>MAX(0,B12*(1-Inputs!$D$29))</f>
        <v>0</v>
      </c>
      <c r="C13" s="47">
        <f>MAX(0,C12*(1-Inputs!$D$29))</f>
        <v>0</v>
      </c>
      <c r="D13" s="47">
        <f>MAX(0,D12*(1-Inputs!$D$29))</f>
        <v>0</v>
      </c>
      <c r="E13" s="47">
        <f>MAX(0,E12*(1-Inputs!$D$29))</f>
        <v>0</v>
      </c>
      <c r="F13" s="47">
        <f>MAX(0,F12*(1-Inputs!$D$29))</f>
        <v>0</v>
      </c>
      <c r="G13" s="47">
        <f>MAX(0,G12*(1-Inputs!$D$29))</f>
        <v>0</v>
      </c>
      <c r="H13" s="47">
        <f>MAX(0,H12*(1-Inputs!$D$29))</f>
        <v>0</v>
      </c>
      <c r="I13" s="47">
        <f>MAX(0,I12*(1-Inputs!$D$29))</f>
        <v>0</v>
      </c>
      <c r="J13" s="47">
        <f>MAX(0,J12*(1-Inputs!$D$29))</f>
        <v>0</v>
      </c>
      <c r="K13" s="47">
        <f>MAX(0,K12*(1-Inputs!$D$29))</f>
        <v>0</v>
      </c>
      <c r="L13" s="47">
        <f>MAX(0,L12*(1-Inputs!$D$29))</f>
        <v>0</v>
      </c>
      <c r="M13" s="56">
        <f>MAX(0,M12*(1-Inputs!$D$29))</f>
        <v>0</v>
      </c>
    </row>
    <row r="14" spans="1:13">
      <c r="A14" s="91" t="s">
        <v>187</v>
      </c>
      <c r="B14" s="70">
        <f>MAX(0,B12*Inputs!$D$29)</f>
        <v>0</v>
      </c>
      <c r="C14" s="47">
        <f>MAX(0,C12*Inputs!$D$29)</f>
        <v>0</v>
      </c>
      <c r="D14" s="47">
        <f>MAX(0,D12*Inputs!$D$29)</f>
        <v>0</v>
      </c>
      <c r="E14" s="47">
        <f>MAX(0,E12*Inputs!$D$29)</f>
        <v>0</v>
      </c>
      <c r="F14" s="47">
        <f>MAX(0,F12*Inputs!$D$29)</f>
        <v>0</v>
      </c>
      <c r="G14" s="47">
        <f>MAX(0,G12*Inputs!$D$29)</f>
        <v>0</v>
      </c>
      <c r="H14" s="47">
        <f>MAX(0,H12*Inputs!$D$29)</f>
        <v>0</v>
      </c>
      <c r="I14" s="47">
        <f>MAX(0,I12*Inputs!$D$29)</f>
        <v>0</v>
      </c>
      <c r="J14" s="47">
        <f>MAX(0,J12*Inputs!$D$29)</f>
        <v>0</v>
      </c>
      <c r="K14" s="47">
        <f>MAX(0,K12*Inputs!$D$29)</f>
        <v>0</v>
      </c>
      <c r="L14" s="47">
        <f>MAX(0,L12*Inputs!$D$29)</f>
        <v>0</v>
      </c>
      <c r="M14" s="56">
        <f>MAX(0,M12*Inputs!$D$29)</f>
        <v>0</v>
      </c>
    </row>
    <row r="15" spans="1:13">
      <c r="A15" s="91" t="s">
        <v>188</v>
      </c>
      <c r="B15" s="96">
        <f>FLOOR(B14/Inputs!$B$16,1)</f>
        <v>0</v>
      </c>
      <c r="C15" s="97">
        <f>FLOOR(C14/Inputs!$B$16,1)</f>
        <v>0</v>
      </c>
      <c r="D15" s="97">
        <f>FLOOR(D14/Inputs!$B$16,1)</f>
        <v>0</v>
      </c>
      <c r="E15" s="97">
        <f>FLOOR(E14/Inputs!$B$16,1)</f>
        <v>0</v>
      </c>
      <c r="F15" s="97">
        <f>FLOOR(F14/Inputs!$B$16,1)</f>
        <v>0</v>
      </c>
      <c r="G15" s="97">
        <f>FLOOR(G14/Inputs!$B$16,1)</f>
        <v>0</v>
      </c>
      <c r="H15" s="97">
        <f>FLOOR(H14/Inputs!$B$16,1)</f>
        <v>0</v>
      </c>
      <c r="I15" s="97">
        <f>FLOOR(I14/Inputs!$B$16,1)</f>
        <v>0</v>
      </c>
      <c r="J15" s="97">
        <f>FLOOR(J14/Inputs!$B$16,1)</f>
        <v>0</v>
      </c>
      <c r="K15" s="97">
        <f>FLOOR(K14/Inputs!$B$16,1)</f>
        <v>0</v>
      </c>
      <c r="L15" s="97">
        <f>FLOOR(L14/Inputs!$B$16,1)</f>
        <v>0</v>
      </c>
      <c r="M15" s="98">
        <f>FLOOR(M14/Inputs!$B$16,1)</f>
        <v>0</v>
      </c>
    </row>
    <row r="16" spans="1:13">
      <c r="A16" s="91" t="s">
        <v>29</v>
      </c>
      <c r="B16" s="70">
        <f>B12</f>
        <v>-2625</v>
      </c>
      <c r="C16" s="47">
        <f t="shared" ref="C16:M16" si="1">B16+C12</f>
        <v>-5250</v>
      </c>
      <c r="D16" s="47">
        <f t="shared" si="1"/>
        <v>-7875</v>
      </c>
      <c r="E16" s="47">
        <f t="shared" si="1"/>
        <v>-10500</v>
      </c>
      <c r="F16" s="47">
        <f t="shared" si="1"/>
        <v>-13125</v>
      </c>
      <c r="G16" s="47">
        <f t="shared" si="1"/>
        <v>-15750</v>
      </c>
      <c r="H16" s="47">
        <f t="shared" si="1"/>
        <v>-18375</v>
      </c>
      <c r="I16" s="47">
        <f t="shared" si="1"/>
        <v>-21000</v>
      </c>
      <c r="J16" s="47">
        <f t="shared" si="1"/>
        <v>-23625</v>
      </c>
      <c r="K16" s="47">
        <f t="shared" si="1"/>
        <v>-26250</v>
      </c>
      <c r="L16" s="47">
        <f t="shared" si="1"/>
        <v>-28875</v>
      </c>
      <c r="M16" s="56">
        <f t="shared" si="1"/>
        <v>-31500</v>
      </c>
    </row>
    <row r="17" spans="1:13">
      <c r="A17" s="91" t="s">
        <v>139</v>
      </c>
      <c r="B17" s="72">
        <f t="shared" ref="B17:M17" si="2">B8/B10</f>
        <v>2.3095238095238093</v>
      </c>
      <c r="C17" s="53">
        <f t="shared" si="2"/>
        <v>2.3095238095238093</v>
      </c>
      <c r="D17" s="53">
        <f t="shared" si="2"/>
        <v>2.3095238095238093</v>
      </c>
      <c r="E17" s="53">
        <f t="shared" si="2"/>
        <v>2.3095238095238093</v>
      </c>
      <c r="F17" s="53">
        <f t="shared" si="2"/>
        <v>2.3095238095238093</v>
      </c>
      <c r="G17" s="53">
        <f t="shared" si="2"/>
        <v>2.3095238095238093</v>
      </c>
      <c r="H17" s="53">
        <f t="shared" si="2"/>
        <v>2.3095238095238093</v>
      </c>
      <c r="I17" s="53">
        <f t="shared" si="2"/>
        <v>2.3095238095238093</v>
      </c>
      <c r="J17" s="53">
        <f t="shared" si="2"/>
        <v>2.3095238095238093</v>
      </c>
      <c r="K17" s="53">
        <f t="shared" si="2"/>
        <v>2.3095238095238093</v>
      </c>
      <c r="L17" s="53">
        <f t="shared" si="2"/>
        <v>2.3095238095238093</v>
      </c>
      <c r="M17" s="73">
        <f t="shared" si="2"/>
        <v>2.3095238095238093</v>
      </c>
    </row>
    <row r="18" spans="1:13">
      <c r="A18" s="91" t="s">
        <v>140</v>
      </c>
      <c r="B18" s="44">
        <f t="shared" ref="B18:M18" si="3">B10/B8</f>
        <v>0.4329896907216495</v>
      </c>
      <c r="C18" s="50">
        <f t="shared" si="3"/>
        <v>0.4329896907216495</v>
      </c>
      <c r="D18" s="50">
        <f t="shared" si="3"/>
        <v>0.4329896907216495</v>
      </c>
      <c r="E18" s="50">
        <f t="shared" si="3"/>
        <v>0.4329896907216495</v>
      </c>
      <c r="F18" s="50">
        <f t="shared" si="3"/>
        <v>0.4329896907216495</v>
      </c>
      <c r="G18" s="50">
        <f t="shared" si="3"/>
        <v>0.4329896907216495</v>
      </c>
      <c r="H18" s="50">
        <f t="shared" si="3"/>
        <v>0.4329896907216495</v>
      </c>
      <c r="I18" s="50">
        <f t="shared" si="3"/>
        <v>0.4329896907216495</v>
      </c>
      <c r="J18" s="50">
        <f t="shared" si="3"/>
        <v>0.4329896907216495</v>
      </c>
      <c r="K18" s="50">
        <f t="shared" si="3"/>
        <v>0.4329896907216495</v>
      </c>
      <c r="L18" s="50">
        <f t="shared" si="3"/>
        <v>0.4329896907216495</v>
      </c>
      <c r="M18" s="71">
        <f t="shared" si="3"/>
        <v>0.4329896907216495</v>
      </c>
    </row>
    <row r="19" spans="1:13">
      <c r="A19" s="91" t="s">
        <v>189</v>
      </c>
      <c r="B19" s="70">
        <f>Inputs!$B$25-Inputs!$C$29</f>
        <v>-26</v>
      </c>
      <c r="C19" s="47">
        <f>Inputs!$B$25-Inputs!$C$29</f>
        <v>-26</v>
      </c>
      <c r="D19" s="47">
        <f>Inputs!$B$25-Inputs!$C$29</f>
        <v>-26</v>
      </c>
      <c r="E19" s="47">
        <f>Inputs!$B$25-Inputs!$C$29</f>
        <v>-26</v>
      </c>
      <c r="F19" s="47">
        <f>Inputs!$B$25-Inputs!$C$29</f>
        <v>-26</v>
      </c>
      <c r="G19" s="47">
        <f>Inputs!$B$25-Inputs!$C$29</f>
        <v>-26</v>
      </c>
      <c r="H19" s="47">
        <f>Inputs!$B$25-Inputs!$C$29</f>
        <v>-26</v>
      </c>
      <c r="I19" s="47">
        <f>Inputs!$B$25-Inputs!$C$29</f>
        <v>-26</v>
      </c>
      <c r="J19" s="47">
        <f>Inputs!$B$25-Inputs!$C$29</f>
        <v>-26</v>
      </c>
      <c r="K19" s="47">
        <f>Inputs!$B$25-Inputs!$C$29</f>
        <v>-26</v>
      </c>
      <c r="L19" s="47">
        <f>Inputs!$B$25-Inputs!$C$29</f>
        <v>-26</v>
      </c>
      <c r="M19" s="56">
        <f>Inputs!$B$25-Inputs!$C$29</f>
        <v>-26</v>
      </c>
    </row>
    <row r="20" spans="1:13">
      <c r="A20" s="91" t="s">
        <v>190</v>
      </c>
      <c r="B20" s="39" t="str">
        <f t="shared" ref="B20:M20" si="4">IF(B12&gt;0,"Profitable","Loss / review")</f>
        <v>Loss / review</v>
      </c>
      <c r="C20" s="40" t="str">
        <f t="shared" si="4"/>
        <v>Loss / review</v>
      </c>
      <c r="D20" s="40" t="str">
        <f t="shared" si="4"/>
        <v>Loss / review</v>
      </c>
      <c r="E20" s="40" t="str">
        <f t="shared" si="4"/>
        <v>Loss / review</v>
      </c>
      <c r="F20" s="40" t="str">
        <f t="shared" si="4"/>
        <v>Loss / review</v>
      </c>
      <c r="G20" s="40" t="str">
        <f t="shared" si="4"/>
        <v>Loss / review</v>
      </c>
      <c r="H20" s="40" t="str">
        <f t="shared" si="4"/>
        <v>Loss / review</v>
      </c>
      <c r="I20" s="40" t="str">
        <f t="shared" si="4"/>
        <v>Loss / review</v>
      </c>
      <c r="J20" s="40" t="str">
        <f t="shared" si="4"/>
        <v>Loss / review</v>
      </c>
      <c r="K20" s="40" t="str">
        <f t="shared" si="4"/>
        <v>Loss / review</v>
      </c>
      <c r="L20" s="40" t="str">
        <f t="shared" si="4"/>
        <v>Loss / review</v>
      </c>
      <c r="M20" s="41" t="str">
        <f t="shared" si="4"/>
        <v>Loss / review</v>
      </c>
    </row>
    <row r="21" spans="1:13">
      <c r="A21" s="92" t="s">
        <v>26</v>
      </c>
      <c r="B21" s="45">
        <f>Inputs!$D$29</f>
        <v>0.3</v>
      </c>
      <c r="C21" s="51">
        <f>Inputs!$D$29</f>
        <v>0.3</v>
      </c>
      <c r="D21" s="51">
        <f>Inputs!$D$29</f>
        <v>0.3</v>
      </c>
      <c r="E21" s="51">
        <f>Inputs!$D$29</f>
        <v>0.3</v>
      </c>
      <c r="F21" s="51">
        <f>Inputs!$D$29</f>
        <v>0.3</v>
      </c>
      <c r="G21" s="51">
        <f>Inputs!$D$29</f>
        <v>0.3</v>
      </c>
      <c r="H21" s="51">
        <f>Inputs!$D$29</f>
        <v>0.3</v>
      </c>
      <c r="I21" s="51">
        <f>Inputs!$D$29</f>
        <v>0.3</v>
      </c>
      <c r="J21" s="51">
        <f>Inputs!$D$29</f>
        <v>0.3</v>
      </c>
      <c r="K21" s="51">
        <f>Inputs!$D$29</f>
        <v>0.3</v>
      </c>
      <c r="L21" s="51">
        <f>Inputs!$D$29</f>
        <v>0.3</v>
      </c>
      <c r="M21" s="76">
        <f>Inputs!$D$29</f>
        <v>0.3</v>
      </c>
    </row>
    <row r="23" spans="1:13">
      <c r="A23" s="156" t="s">
        <v>191</v>
      </c>
      <c r="B23" s="156" t="s">
        <v>191</v>
      </c>
      <c r="C23" s="156" t="s">
        <v>191</v>
      </c>
      <c r="D23" s="156" t="s">
        <v>191</v>
      </c>
      <c r="E23" s="156" t="s">
        <v>191</v>
      </c>
      <c r="F23" s="156" t="s">
        <v>191</v>
      </c>
      <c r="G23" s="156" t="s">
        <v>191</v>
      </c>
      <c r="H23" s="156" t="s">
        <v>191</v>
      </c>
      <c r="I23" s="156" t="s">
        <v>191</v>
      </c>
      <c r="J23" s="156" t="s">
        <v>191</v>
      </c>
      <c r="K23" s="156" t="s">
        <v>191</v>
      </c>
      <c r="L23" s="156" t="s">
        <v>191</v>
      </c>
      <c r="M23" s="156" t="s">
        <v>191</v>
      </c>
    </row>
    <row r="24" spans="1:13">
      <c r="A24" s="34" t="s">
        <v>2</v>
      </c>
      <c r="B24" s="35" t="s">
        <v>45</v>
      </c>
      <c r="C24" s="35" t="s">
        <v>46</v>
      </c>
      <c r="D24" s="35" t="s">
        <v>47</v>
      </c>
      <c r="E24" s="35" t="s">
        <v>48</v>
      </c>
      <c r="F24" s="35" t="s">
        <v>49</v>
      </c>
      <c r="G24" s="35" t="s">
        <v>50</v>
      </c>
      <c r="H24" s="35" t="s">
        <v>51</v>
      </c>
      <c r="I24" s="35" t="s">
        <v>52</v>
      </c>
      <c r="J24" s="35" t="s">
        <v>53</v>
      </c>
      <c r="K24" s="35" t="s">
        <v>54</v>
      </c>
      <c r="L24" s="35" t="s">
        <v>55</v>
      </c>
      <c r="M24" s="36" t="s">
        <v>56</v>
      </c>
    </row>
    <row r="25" spans="1:13">
      <c r="A25" s="99" t="s">
        <v>180</v>
      </c>
      <c r="B25" s="93">
        <f>Inputs!$B$8</f>
        <v>75</v>
      </c>
      <c r="C25" s="94">
        <f>MIN(FLOOR(B25*(1+Inputs!$B$13),1),B25+B34)</f>
        <v>75</v>
      </c>
      <c r="D25" s="94">
        <f>MIN(FLOOR(C25*(1+Inputs!$B$13),1),C25+C34)</f>
        <v>75</v>
      </c>
      <c r="E25" s="94">
        <f>MIN(FLOOR(D25*(1+Inputs!$B$13),1),D25+D34)</f>
        <v>75</v>
      </c>
      <c r="F25" s="94">
        <f>MIN(FLOOR(E25*(1+Inputs!$B$13),1),E25+E34)</f>
        <v>75</v>
      </c>
      <c r="G25" s="94">
        <f>MIN(FLOOR(F25*(1+Inputs!$B$13),1),F25+F34)</f>
        <v>75</v>
      </c>
      <c r="H25" s="94">
        <f>MIN(FLOOR(G25*(1+Inputs!$B$13),1),G25+G34)</f>
        <v>75</v>
      </c>
      <c r="I25" s="94">
        <f>MIN(FLOOR(H25*(1+Inputs!$B$13),1),H25+H34)</f>
        <v>75</v>
      </c>
      <c r="J25" s="94">
        <f>MIN(FLOOR(I25*(1+Inputs!$B$13),1),I25+I34)</f>
        <v>75</v>
      </c>
      <c r="K25" s="94">
        <f>MIN(FLOOR(J25*(1+Inputs!$B$13),1),J25+J34)</f>
        <v>75</v>
      </c>
      <c r="L25" s="94">
        <f>MIN(FLOOR(K25*(1+Inputs!$B$13),1),K25+K34)</f>
        <v>75</v>
      </c>
      <c r="M25" s="95">
        <f>MIN(FLOOR(L25*(1+Inputs!$B$13),1),L25+L34)</f>
        <v>75</v>
      </c>
    </row>
    <row r="26" spans="1:13">
      <c r="A26" s="100" t="s">
        <v>181</v>
      </c>
      <c r="B26" s="96">
        <f>B25*Inputs!$B$10</f>
        <v>75</v>
      </c>
      <c r="C26" s="97">
        <f>C25*Inputs!$B$10</f>
        <v>75</v>
      </c>
      <c r="D26" s="97">
        <f>D25*Inputs!$B$10</f>
        <v>75</v>
      </c>
      <c r="E26" s="97">
        <f>E25*Inputs!$B$10</f>
        <v>75</v>
      </c>
      <c r="F26" s="97">
        <f>F25*Inputs!$B$10</f>
        <v>75</v>
      </c>
      <c r="G26" s="97">
        <f>G25*Inputs!$B$10</f>
        <v>75</v>
      </c>
      <c r="H26" s="97">
        <f>H25*Inputs!$B$10</f>
        <v>75</v>
      </c>
      <c r="I26" s="97">
        <f>I25*Inputs!$B$10</f>
        <v>75</v>
      </c>
      <c r="J26" s="97">
        <f>J25*Inputs!$B$10</f>
        <v>75</v>
      </c>
      <c r="K26" s="97">
        <f>K25*Inputs!$B$10</f>
        <v>75</v>
      </c>
      <c r="L26" s="97">
        <f>L25*Inputs!$B$10</f>
        <v>75</v>
      </c>
      <c r="M26" s="98">
        <f>M25*Inputs!$B$10</f>
        <v>75</v>
      </c>
    </row>
    <row r="27" spans="1:13">
      <c r="A27" s="100" t="s">
        <v>182</v>
      </c>
      <c r="B27" s="70">
        <f>B26*Inputs!$B$7*(1-Inputs!$B$11)</f>
        <v>21825</v>
      </c>
      <c r="C27" s="47">
        <f>C26*Inputs!$B$7*(1-Inputs!$B$11)</f>
        <v>21825</v>
      </c>
      <c r="D27" s="47">
        <f>D26*Inputs!$B$7*(1-Inputs!$B$11)</f>
        <v>21825</v>
      </c>
      <c r="E27" s="47">
        <f>E26*Inputs!$B$7*(1-Inputs!$B$11)</f>
        <v>21825</v>
      </c>
      <c r="F27" s="47">
        <f>F26*Inputs!$B$7*(1-Inputs!$B$11)</f>
        <v>21825</v>
      </c>
      <c r="G27" s="47">
        <f>G26*Inputs!$B$7*(1-Inputs!$B$11)</f>
        <v>21825</v>
      </c>
      <c r="H27" s="47">
        <f>H26*Inputs!$B$7*(1-Inputs!$B$11)</f>
        <v>21825</v>
      </c>
      <c r="I27" s="47">
        <f>I26*Inputs!$B$7*(1-Inputs!$B$11)</f>
        <v>21825</v>
      </c>
      <c r="J27" s="47">
        <f>J26*Inputs!$B$7*(1-Inputs!$B$11)</f>
        <v>21825</v>
      </c>
      <c r="K27" s="47">
        <f>K26*Inputs!$B$7*(1-Inputs!$B$11)</f>
        <v>21825</v>
      </c>
      <c r="L27" s="47">
        <f>L26*Inputs!$B$7*(1-Inputs!$B$11)</f>
        <v>21825</v>
      </c>
      <c r="M27" s="56">
        <f>M26*Inputs!$B$7*(1-Inputs!$B$11)</f>
        <v>21825</v>
      </c>
    </row>
    <row r="28" spans="1:13">
      <c r="A28" s="100" t="s">
        <v>153</v>
      </c>
      <c r="B28" s="70">
        <f>B26*Inputs!$B$24</f>
        <v>15000</v>
      </c>
      <c r="C28" s="47">
        <f>C26*Inputs!$B$24</f>
        <v>15000</v>
      </c>
      <c r="D28" s="47">
        <f>D26*Inputs!$B$24</f>
        <v>15000</v>
      </c>
      <c r="E28" s="47">
        <f>E26*Inputs!$B$24</f>
        <v>15000</v>
      </c>
      <c r="F28" s="47">
        <f>F26*Inputs!$B$24</f>
        <v>15000</v>
      </c>
      <c r="G28" s="47">
        <f>G26*Inputs!$B$24</f>
        <v>15000</v>
      </c>
      <c r="H28" s="47">
        <f>H26*Inputs!$B$24</f>
        <v>15000</v>
      </c>
      <c r="I28" s="47">
        <f>I26*Inputs!$B$24</f>
        <v>15000</v>
      </c>
      <c r="J28" s="47">
        <f>J26*Inputs!$B$24</f>
        <v>15000</v>
      </c>
      <c r="K28" s="47">
        <f>K26*Inputs!$B$24</f>
        <v>15000</v>
      </c>
      <c r="L28" s="47">
        <f>L26*Inputs!$B$24</f>
        <v>15000</v>
      </c>
      <c r="M28" s="56">
        <f>M26*Inputs!$B$24</f>
        <v>15000</v>
      </c>
    </row>
    <row r="29" spans="1:13">
      <c r="A29" s="100" t="s">
        <v>183</v>
      </c>
      <c r="B29" s="70">
        <f>B26*Inputs!$C$30</f>
        <v>7200</v>
      </c>
      <c r="C29" s="47">
        <f>C26*Inputs!$C$30</f>
        <v>7200</v>
      </c>
      <c r="D29" s="47">
        <f>D26*Inputs!$C$30</f>
        <v>7200</v>
      </c>
      <c r="E29" s="47">
        <f>E26*Inputs!$C$30</f>
        <v>7200</v>
      </c>
      <c r="F29" s="47">
        <f>F26*Inputs!$C$30</f>
        <v>7200</v>
      </c>
      <c r="G29" s="47">
        <f>G26*Inputs!$C$30</f>
        <v>7200</v>
      </c>
      <c r="H29" s="47">
        <f>H26*Inputs!$C$30</f>
        <v>7200</v>
      </c>
      <c r="I29" s="47">
        <f>I26*Inputs!$C$30</f>
        <v>7200</v>
      </c>
      <c r="J29" s="47">
        <f>J26*Inputs!$C$30</f>
        <v>7200</v>
      </c>
      <c r="K29" s="47">
        <f>K26*Inputs!$C$30</f>
        <v>7200</v>
      </c>
      <c r="L29" s="47">
        <f>L26*Inputs!$C$30</f>
        <v>7200</v>
      </c>
      <c r="M29" s="56">
        <f>M26*Inputs!$C$30</f>
        <v>7200</v>
      </c>
    </row>
    <row r="30" spans="1:13">
      <c r="A30" s="100" t="s">
        <v>184</v>
      </c>
      <c r="B30" s="70">
        <f>Inputs!$B$12</f>
        <v>0</v>
      </c>
      <c r="C30" s="47">
        <f>Inputs!$B$12</f>
        <v>0</v>
      </c>
      <c r="D30" s="47">
        <f>Inputs!$B$12</f>
        <v>0</v>
      </c>
      <c r="E30" s="47">
        <f>Inputs!$B$12</f>
        <v>0</v>
      </c>
      <c r="F30" s="47">
        <f>Inputs!$B$12</f>
        <v>0</v>
      </c>
      <c r="G30" s="47">
        <f>Inputs!$B$12</f>
        <v>0</v>
      </c>
      <c r="H30" s="47">
        <f>Inputs!$B$12</f>
        <v>0</v>
      </c>
      <c r="I30" s="47">
        <f>Inputs!$B$12</f>
        <v>0</v>
      </c>
      <c r="J30" s="47">
        <f>Inputs!$B$12</f>
        <v>0</v>
      </c>
      <c r="K30" s="47">
        <f>Inputs!$B$12</f>
        <v>0</v>
      </c>
      <c r="L30" s="47">
        <f>Inputs!$B$12</f>
        <v>0</v>
      </c>
      <c r="M30" s="56">
        <f>Inputs!$B$12</f>
        <v>0</v>
      </c>
    </row>
    <row r="31" spans="1:13">
      <c r="A31" s="100" t="s">
        <v>185</v>
      </c>
      <c r="B31" s="70">
        <f t="shared" ref="B31:M31" si="5">B27-B28-B29-B30</f>
        <v>-375</v>
      </c>
      <c r="C31" s="47">
        <f t="shared" si="5"/>
        <v>-375</v>
      </c>
      <c r="D31" s="47">
        <f t="shared" si="5"/>
        <v>-375</v>
      </c>
      <c r="E31" s="47">
        <f t="shared" si="5"/>
        <v>-375</v>
      </c>
      <c r="F31" s="47">
        <f t="shared" si="5"/>
        <v>-375</v>
      </c>
      <c r="G31" s="47">
        <f t="shared" si="5"/>
        <v>-375</v>
      </c>
      <c r="H31" s="47">
        <f t="shared" si="5"/>
        <v>-375</v>
      </c>
      <c r="I31" s="47">
        <f t="shared" si="5"/>
        <v>-375</v>
      </c>
      <c r="J31" s="47">
        <f t="shared" si="5"/>
        <v>-375</v>
      </c>
      <c r="K31" s="47">
        <f t="shared" si="5"/>
        <v>-375</v>
      </c>
      <c r="L31" s="47">
        <f t="shared" si="5"/>
        <v>-375</v>
      </c>
      <c r="M31" s="56">
        <f t="shared" si="5"/>
        <v>-375</v>
      </c>
    </row>
    <row r="32" spans="1:13">
      <c r="A32" s="100" t="s">
        <v>186</v>
      </c>
      <c r="B32" s="70">
        <f>MAX(0,B31*(1-Inputs!$D$30))</f>
        <v>0</v>
      </c>
      <c r="C32" s="47">
        <f>MAX(0,C31*(1-Inputs!$D$30))</f>
        <v>0</v>
      </c>
      <c r="D32" s="47">
        <f>MAX(0,D31*(1-Inputs!$D$30))</f>
        <v>0</v>
      </c>
      <c r="E32" s="47">
        <f>MAX(0,E31*(1-Inputs!$D$30))</f>
        <v>0</v>
      </c>
      <c r="F32" s="47">
        <f>MAX(0,F31*(1-Inputs!$D$30))</f>
        <v>0</v>
      </c>
      <c r="G32" s="47">
        <f>MAX(0,G31*(1-Inputs!$D$30))</f>
        <v>0</v>
      </c>
      <c r="H32" s="47">
        <f>MAX(0,H31*(1-Inputs!$D$30))</f>
        <v>0</v>
      </c>
      <c r="I32" s="47">
        <f>MAX(0,I31*(1-Inputs!$D$30))</f>
        <v>0</v>
      </c>
      <c r="J32" s="47">
        <f>MAX(0,J31*(1-Inputs!$D$30))</f>
        <v>0</v>
      </c>
      <c r="K32" s="47">
        <f>MAX(0,K31*(1-Inputs!$D$30))</f>
        <v>0</v>
      </c>
      <c r="L32" s="47">
        <f>MAX(0,L31*(1-Inputs!$D$30))</f>
        <v>0</v>
      </c>
      <c r="M32" s="56">
        <f>MAX(0,M31*(1-Inputs!$D$30))</f>
        <v>0</v>
      </c>
    </row>
    <row r="33" spans="1:13">
      <c r="A33" s="100" t="s">
        <v>187</v>
      </c>
      <c r="B33" s="70">
        <f>MAX(0,B31*Inputs!$D$30)</f>
        <v>0</v>
      </c>
      <c r="C33" s="47">
        <f>MAX(0,C31*Inputs!$D$30)</f>
        <v>0</v>
      </c>
      <c r="D33" s="47">
        <f>MAX(0,D31*Inputs!$D$30)</f>
        <v>0</v>
      </c>
      <c r="E33" s="47">
        <f>MAX(0,E31*Inputs!$D$30)</f>
        <v>0</v>
      </c>
      <c r="F33" s="47">
        <f>MAX(0,F31*Inputs!$D$30)</f>
        <v>0</v>
      </c>
      <c r="G33" s="47">
        <f>MAX(0,G31*Inputs!$D$30)</f>
        <v>0</v>
      </c>
      <c r="H33" s="47">
        <f>MAX(0,H31*Inputs!$D$30)</f>
        <v>0</v>
      </c>
      <c r="I33" s="47">
        <f>MAX(0,I31*Inputs!$D$30)</f>
        <v>0</v>
      </c>
      <c r="J33" s="47">
        <f>MAX(0,J31*Inputs!$D$30)</f>
        <v>0</v>
      </c>
      <c r="K33" s="47">
        <f>MAX(0,K31*Inputs!$D$30)</f>
        <v>0</v>
      </c>
      <c r="L33" s="47">
        <f>MAX(0,L31*Inputs!$D$30)</f>
        <v>0</v>
      </c>
      <c r="M33" s="56">
        <f>MAX(0,M31*Inputs!$D$30)</f>
        <v>0</v>
      </c>
    </row>
    <row r="34" spans="1:13">
      <c r="A34" s="100" t="s">
        <v>188</v>
      </c>
      <c r="B34" s="96">
        <f>FLOOR(B33/Inputs!$B$16,1)</f>
        <v>0</v>
      </c>
      <c r="C34" s="97">
        <f>FLOOR(C33/Inputs!$B$16,1)</f>
        <v>0</v>
      </c>
      <c r="D34" s="97">
        <f>FLOOR(D33/Inputs!$B$16,1)</f>
        <v>0</v>
      </c>
      <c r="E34" s="97">
        <f>FLOOR(E33/Inputs!$B$16,1)</f>
        <v>0</v>
      </c>
      <c r="F34" s="97">
        <f>FLOOR(F33/Inputs!$B$16,1)</f>
        <v>0</v>
      </c>
      <c r="G34" s="97">
        <f>FLOOR(G33/Inputs!$B$16,1)</f>
        <v>0</v>
      </c>
      <c r="H34" s="97">
        <f>FLOOR(H33/Inputs!$B$16,1)</f>
        <v>0</v>
      </c>
      <c r="I34" s="97">
        <f>FLOOR(I33/Inputs!$B$16,1)</f>
        <v>0</v>
      </c>
      <c r="J34" s="97">
        <f>FLOOR(J33/Inputs!$B$16,1)</f>
        <v>0</v>
      </c>
      <c r="K34" s="97">
        <f>FLOOR(K33/Inputs!$B$16,1)</f>
        <v>0</v>
      </c>
      <c r="L34" s="97">
        <f>FLOOR(L33/Inputs!$B$16,1)</f>
        <v>0</v>
      </c>
      <c r="M34" s="98">
        <f>FLOOR(M33/Inputs!$B$16,1)</f>
        <v>0</v>
      </c>
    </row>
    <row r="35" spans="1:13">
      <c r="A35" s="100" t="s">
        <v>29</v>
      </c>
      <c r="B35" s="70">
        <f>B31</f>
        <v>-375</v>
      </c>
      <c r="C35" s="47">
        <f t="shared" ref="C35:M35" si="6">B35+C31</f>
        <v>-750</v>
      </c>
      <c r="D35" s="47">
        <f t="shared" si="6"/>
        <v>-1125</v>
      </c>
      <c r="E35" s="47">
        <f t="shared" si="6"/>
        <v>-1500</v>
      </c>
      <c r="F35" s="47">
        <f t="shared" si="6"/>
        <v>-1875</v>
      </c>
      <c r="G35" s="47">
        <f t="shared" si="6"/>
        <v>-2250</v>
      </c>
      <c r="H35" s="47">
        <f t="shared" si="6"/>
        <v>-2625</v>
      </c>
      <c r="I35" s="47">
        <f t="shared" si="6"/>
        <v>-3000</v>
      </c>
      <c r="J35" s="47">
        <f t="shared" si="6"/>
        <v>-3375</v>
      </c>
      <c r="K35" s="47">
        <f t="shared" si="6"/>
        <v>-3750</v>
      </c>
      <c r="L35" s="47">
        <f t="shared" si="6"/>
        <v>-4125</v>
      </c>
      <c r="M35" s="56">
        <f t="shared" si="6"/>
        <v>-4500</v>
      </c>
    </row>
    <row r="36" spans="1:13">
      <c r="A36" s="100" t="s">
        <v>139</v>
      </c>
      <c r="B36" s="72">
        <f t="shared" ref="B36:M36" si="7">B27/B29</f>
        <v>3.03125</v>
      </c>
      <c r="C36" s="53">
        <f t="shared" si="7"/>
        <v>3.03125</v>
      </c>
      <c r="D36" s="53">
        <f t="shared" si="7"/>
        <v>3.03125</v>
      </c>
      <c r="E36" s="53">
        <f t="shared" si="7"/>
        <v>3.03125</v>
      </c>
      <c r="F36" s="53">
        <f t="shared" si="7"/>
        <v>3.03125</v>
      </c>
      <c r="G36" s="53">
        <f t="shared" si="7"/>
        <v>3.03125</v>
      </c>
      <c r="H36" s="53">
        <f t="shared" si="7"/>
        <v>3.03125</v>
      </c>
      <c r="I36" s="53">
        <f t="shared" si="7"/>
        <v>3.03125</v>
      </c>
      <c r="J36" s="53">
        <f t="shared" si="7"/>
        <v>3.03125</v>
      </c>
      <c r="K36" s="53">
        <f t="shared" si="7"/>
        <v>3.03125</v>
      </c>
      <c r="L36" s="53">
        <f t="shared" si="7"/>
        <v>3.03125</v>
      </c>
      <c r="M36" s="73">
        <f t="shared" si="7"/>
        <v>3.03125</v>
      </c>
    </row>
    <row r="37" spans="1:13">
      <c r="A37" s="100" t="s">
        <v>140</v>
      </c>
      <c r="B37" s="44">
        <f t="shared" ref="B37:M37" si="8">B29/B27</f>
        <v>0.32989690721649484</v>
      </c>
      <c r="C37" s="50">
        <f t="shared" si="8"/>
        <v>0.32989690721649484</v>
      </c>
      <c r="D37" s="50">
        <f t="shared" si="8"/>
        <v>0.32989690721649484</v>
      </c>
      <c r="E37" s="50">
        <f t="shared" si="8"/>
        <v>0.32989690721649484</v>
      </c>
      <c r="F37" s="50">
        <f t="shared" si="8"/>
        <v>0.32989690721649484</v>
      </c>
      <c r="G37" s="50">
        <f t="shared" si="8"/>
        <v>0.32989690721649484</v>
      </c>
      <c r="H37" s="50">
        <f t="shared" si="8"/>
        <v>0.32989690721649484</v>
      </c>
      <c r="I37" s="50">
        <f t="shared" si="8"/>
        <v>0.32989690721649484</v>
      </c>
      <c r="J37" s="50">
        <f t="shared" si="8"/>
        <v>0.32989690721649484</v>
      </c>
      <c r="K37" s="50">
        <f t="shared" si="8"/>
        <v>0.32989690721649484</v>
      </c>
      <c r="L37" s="50">
        <f t="shared" si="8"/>
        <v>0.32989690721649484</v>
      </c>
      <c r="M37" s="71">
        <f t="shared" si="8"/>
        <v>0.32989690721649484</v>
      </c>
    </row>
    <row r="38" spans="1:13">
      <c r="A38" s="100" t="s">
        <v>189</v>
      </c>
      <c r="B38" s="70">
        <f>Inputs!$B$25-Inputs!$C$30</f>
        <v>4</v>
      </c>
      <c r="C38" s="47">
        <f>Inputs!$B$25-Inputs!$C$30</f>
        <v>4</v>
      </c>
      <c r="D38" s="47">
        <f>Inputs!$B$25-Inputs!$C$30</f>
        <v>4</v>
      </c>
      <c r="E38" s="47">
        <f>Inputs!$B$25-Inputs!$C$30</f>
        <v>4</v>
      </c>
      <c r="F38" s="47">
        <f>Inputs!$B$25-Inputs!$C$30</f>
        <v>4</v>
      </c>
      <c r="G38" s="47">
        <f>Inputs!$B$25-Inputs!$C$30</f>
        <v>4</v>
      </c>
      <c r="H38" s="47">
        <f>Inputs!$B$25-Inputs!$C$30</f>
        <v>4</v>
      </c>
      <c r="I38" s="47">
        <f>Inputs!$B$25-Inputs!$C$30</f>
        <v>4</v>
      </c>
      <c r="J38" s="47">
        <f>Inputs!$B$25-Inputs!$C$30</f>
        <v>4</v>
      </c>
      <c r="K38" s="47">
        <f>Inputs!$B$25-Inputs!$C$30</f>
        <v>4</v>
      </c>
      <c r="L38" s="47">
        <f>Inputs!$B$25-Inputs!$C$30</f>
        <v>4</v>
      </c>
      <c r="M38" s="56">
        <f>Inputs!$B$25-Inputs!$C$30</f>
        <v>4</v>
      </c>
    </row>
    <row r="39" spans="1:13">
      <c r="A39" s="100" t="s">
        <v>190</v>
      </c>
      <c r="B39" s="39" t="str">
        <f t="shared" ref="B39:M39" si="9">IF(B31&gt;0,"Profitable","Loss / review")</f>
        <v>Loss / review</v>
      </c>
      <c r="C39" s="40" t="str">
        <f t="shared" si="9"/>
        <v>Loss / review</v>
      </c>
      <c r="D39" s="40" t="str">
        <f t="shared" si="9"/>
        <v>Loss / review</v>
      </c>
      <c r="E39" s="40" t="str">
        <f t="shared" si="9"/>
        <v>Loss / review</v>
      </c>
      <c r="F39" s="40" t="str">
        <f t="shared" si="9"/>
        <v>Loss / review</v>
      </c>
      <c r="G39" s="40" t="str">
        <f t="shared" si="9"/>
        <v>Loss / review</v>
      </c>
      <c r="H39" s="40" t="str">
        <f t="shared" si="9"/>
        <v>Loss / review</v>
      </c>
      <c r="I39" s="40" t="str">
        <f t="shared" si="9"/>
        <v>Loss / review</v>
      </c>
      <c r="J39" s="40" t="str">
        <f t="shared" si="9"/>
        <v>Loss / review</v>
      </c>
      <c r="K39" s="40" t="str">
        <f t="shared" si="9"/>
        <v>Loss / review</v>
      </c>
      <c r="L39" s="40" t="str">
        <f t="shared" si="9"/>
        <v>Loss / review</v>
      </c>
      <c r="M39" s="41" t="str">
        <f t="shared" si="9"/>
        <v>Loss / review</v>
      </c>
    </row>
    <row r="40" spans="1:13">
      <c r="A40" s="101" t="s">
        <v>26</v>
      </c>
      <c r="B40" s="45">
        <f>Inputs!$D$30</f>
        <v>0.5</v>
      </c>
      <c r="C40" s="51">
        <f>Inputs!$D$30</f>
        <v>0.5</v>
      </c>
      <c r="D40" s="51">
        <f>Inputs!$D$30</f>
        <v>0.5</v>
      </c>
      <c r="E40" s="51">
        <f>Inputs!$D$30</f>
        <v>0.5</v>
      </c>
      <c r="F40" s="51">
        <f>Inputs!$D$30</f>
        <v>0.5</v>
      </c>
      <c r="G40" s="51">
        <f>Inputs!$D$30</f>
        <v>0.5</v>
      </c>
      <c r="H40" s="51">
        <f>Inputs!$D$30</f>
        <v>0.5</v>
      </c>
      <c r="I40" s="51">
        <f>Inputs!$D$30</f>
        <v>0.5</v>
      </c>
      <c r="J40" s="51">
        <f>Inputs!$D$30</f>
        <v>0.5</v>
      </c>
      <c r="K40" s="51">
        <f>Inputs!$D$30</f>
        <v>0.5</v>
      </c>
      <c r="L40" s="51">
        <f>Inputs!$D$30</f>
        <v>0.5</v>
      </c>
      <c r="M40" s="76">
        <f>Inputs!$D$30</f>
        <v>0.5</v>
      </c>
    </row>
    <row r="42" spans="1:13">
      <c r="A42" s="159" t="s">
        <v>192</v>
      </c>
      <c r="B42" s="159" t="s">
        <v>192</v>
      </c>
      <c r="C42" s="159" t="s">
        <v>192</v>
      </c>
      <c r="D42" s="159" t="s">
        <v>192</v>
      </c>
      <c r="E42" s="159" t="s">
        <v>192</v>
      </c>
      <c r="F42" s="159" t="s">
        <v>192</v>
      </c>
      <c r="G42" s="159" t="s">
        <v>192</v>
      </c>
      <c r="H42" s="159" t="s">
        <v>192</v>
      </c>
      <c r="I42" s="159" t="s">
        <v>192</v>
      </c>
      <c r="J42" s="159" t="s">
        <v>192</v>
      </c>
      <c r="K42" s="159" t="s">
        <v>192</v>
      </c>
      <c r="L42" s="159" t="s">
        <v>192</v>
      </c>
      <c r="M42" s="159" t="s">
        <v>192</v>
      </c>
    </row>
    <row r="43" spans="1:13">
      <c r="A43" s="102" t="s">
        <v>2</v>
      </c>
      <c r="B43" s="103" t="s">
        <v>45</v>
      </c>
      <c r="C43" s="103" t="s">
        <v>46</v>
      </c>
      <c r="D43" s="103" t="s">
        <v>47</v>
      </c>
      <c r="E43" s="103" t="s">
        <v>48</v>
      </c>
      <c r="F43" s="103" t="s">
        <v>49</v>
      </c>
      <c r="G43" s="103" t="s">
        <v>50</v>
      </c>
      <c r="H43" s="103" t="s">
        <v>51</v>
      </c>
      <c r="I43" s="103" t="s">
        <v>52</v>
      </c>
      <c r="J43" s="103" t="s">
        <v>53</v>
      </c>
      <c r="K43" s="103" t="s">
        <v>54</v>
      </c>
      <c r="L43" s="103" t="s">
        <v>55</v>
      </c>
      <c r="M43" s="104" t="s">
        <v>56</v>
      </c>
    </row>
    <row r="44" spans="1:13">
      <c r="A44" s="105" t="s">
        <v>180</v>
      </c>
      <c r="B44" s="93">
        <f>Inputs!$B$8</f>
        <v>75</v>
      </c>
      <c r="C44" s="94">
        <f>MIN(FLOOR(B44*(1+Inputs!$B$13),1),B44+B53)</f>
        <v>83</v>
      </c>
      <c r="D44" s="94">
        <f>MIN(FLOOR(C44*(1+Inputs!$B$13),1),C44+C53)</f>
        <v>92</v>
      </c>
      <c r="E44" s="94">
        <f>MIN(FLOOR(D44*(1+Inputs!$B$13),1),D44+D53)</f>
        <v>102</v>
      </c>
      <c r="F44" s="94">
        <f>MIN(FLOOR(E44*(1+Inputs!$B$13),1),E44+E53)</f>
        <v>113</v>
      </c>
      <c r="G44" s="94">
        <f>MIN(FLOOR(F44*(1+Inputs!$B$13),1),F44+F53)</f>
        <v>126</v>
      </c>
      <c r="H44" s="94">
        <f>MIN(FLOOR(G44*(1+Inputs!$B$13),1),G44+G53)</f>
        <v>140</v>
      </c>
      <c r="I44" s="94">
        <f>MIN(FLOOR(H44*(1+Inputs!$B$13),1),H44+H53)</f>
        <v>156</v>
      </c>
      <c r="J44" s="94">
        <f>MIN(FLOOR(I44*(1+Inputs!$B$13),1),I44+I53)</f>
        <v>174</v>
      </c>
      <c r="K44" s="94">
        <f>MIN(FLOOR(J44*(1+Inputs!$B$13),1),J44+J53)</f>
        <v>194</v>
      </c>
      <c r="L44" s="94">
        <f>MIN(FLOOR(K44*(1+Inputs!$B$13),1),K44+K53)</f>
        <v>216</v>
      </c>
      <c r="M44" s="95">
        <f>MIN(FLOOR(L44*(1+Inputs!$B$13),1),L44+L53)</f>
        <v>241</v>
      </c>
    </row>
    <row r="45" spans="1:13">
      <c r="A45" s="106" t="s">
        <v>181</v>
      </c>
      <c r="B45" s="96">
        <f>B44*Inputs!$B$10</f>
        <v>75</v>
      </c>
      <c r="C45" s="97">
        <f>C44*Inputs!$B$10</f>
        <v>83</v>
      </c>
      <c r="D45" s="97">
        <f>D44*Inputs!$B$10</f>
        <v>92</v>
      </c>
      <c r="E45" s="97">
        <f>E44*Inputs!$B$10</f>
        <v>102</v>
      </c>
      <c r="F45" s="97">
        <f>F44*Inputs!$B$10</f>
        <v>113</v>
      </c>
      <c r="G45" s="97">
        <f>G44*Inputs!$B$10</f>
        <v>126</v>
      </c>
      <c r="H45" s="97">
        <f>H44*Inputs!$B$10</f>
        <v>140</v>
      </c>
      <c r="I45" s="97">
        <f>I44*Inputs!$B$10</f>
        <v>156</v>
      </c>
      <c r="J45" s="97">
        <f>J44*Inputs!$B$10</f>
        <v>174</v>
      </c>
      <c r="K45" s="97">
        <f>K44*Inputs!$B$10</f>
        <v>194</v>
      </c>
      <c r="L45" s="97">
        <f>L44*Inputs!$B$10</f>
        <v>216</v>
      </c>
      <c r="M45" s="98">
        <f>M44*Inputs!$B$10</f>
        <v>241</v>
      </c>
    </row>
    <row r="46" spans="1:13">
      <c r="A46" s="106" t="s">
        <v>182</v>
      </c>
      <c r="B46" s="70">
        <f>B45*Inputs!$B$7*(1-Inputs!$B$11)</f>
        <v>21825</v>
      </c>
      <c r="C46" s="47">
        <f>C45*Inputs!$B$7*(1-Inputs!$B$11)</f>
        <v>24153</v>
      </c>
      <c r="D46" s="47">
        <f>D45*Inputs!$B$7*(1-Inputs!$B$11)</f>
        <v>26772</v>
      </c>
      <c r="E46" s="47">
        <f>E45*Inputs!$B$7*(1-Inputs!$B$11)</f>
        <v>29682</v>
      </c>
      <c r="F46" s="47">
        <f>F45*Inputs!$B$7*(1-Inputs!$B$11)</f>
        <v>32883</v>
      </c>
      <c r="G46" s="47">
        <f>G45*Inputs!$B$7*(1-Inputs!$B$11)</f>
        <v>36666</v>
      </c>
      <c r="H46" s="47">
        <f>H45*Inputs!$B$7*(1-Inputs!$B$11)</f>
        <v>40740</v>
      </c>
      <c r="I46" s="47">
        <f>I45*Inputs!$B$7*(1-Inputs!$B$11)</f>
        <v>45396</v>
      </c>
      <c r="J46" s="47">
        <f>J45*Inputs!$B$7*(1-Inputs!$B$11)</f>
        <v>50634</v>
      </c>
      <c r="K46" s="47">
        <f>K45*Inputs!$B$7*(1-Inputs!$B$11)</f>
        <v>56454</v>
      </c>
      <c r="L46" s="47">
        <f>L45*Inputs!$B$7*(1-Inputs!$B$11)</f>
        <v>62856</v>
      </c>
      <c r="M46" s="56">
        <f>M45*Inputs!$B$7*(1-Inputs!$B$11)</f>
        <v>70131</v>
      </c>
    </row>
    <row r="47" spans="1:13">
      <c r="A47" s="106" t="s">
        <v>153</v>
      </c>
      <c r="B47" s="70">
        <f>B45*Inputs!$B$24</f>
        <v>15000</v>
      </c>
      <c r="C47" s="47">
        <f>C45*Inputs!$B$24</f>
        <v>16600</v>
      </c>
      <c r="D47" s="47">
        <f>D45*Inputs!$B$24</f>
        <v>18400</v>
      </c>
      <c r="E47" s="47">
        <f>E45*Inputs!$B$24</f>
        <v>20400</v>
      </c>
      <c r="F47" s="47">
        <f>F45*Inputs!$B$24</f>
        <v>22600</v>
      </c>
      <c r="G47" s="47">
        <f>G45*Inputs!$B$24</f>
        <v>25200</v>
      </c>
      <c r="H47" s="47">
        <f>H45*Inputs!$B$24</f>
        <v>28000</v>
      </c>
      <c r="I47" s="47">
        <f>I45*Inputs!$B$24</f>
        <v>31200</v>
      </c>
      <c r="J47" s="47">
        <f>J45*Inputs!$B$24</f>
        <v>34800</v>
      </c>
      <c r="K47" s="47">
        <f>K45*Inputs!$B$24</f>
        <v>38800</v>
      </c>
      <c r="L47" s="47">
        <f>L45*Inputs!$B$24</f>
        <v>43200</v>
      </c>
      <c r="M47" s="56">
        <f>M45*Inputs!$B$24</f>
        <v>48200</v>
      </c>
    </row>
    <row r="48" spans="1:13">
      <c r="A48" s="106" t="s">
        <v>183</v>
      </c>
      <c r="B48" s="70">
        <f>B45*Inputs!$C$31</f>
        <v>4950</v>
      </c>
      <c r="C48" s="47">
        <f>C45*Inputs!$C$31</f>
        <v>5478</v>
      </c>
      <c r="D48" s="47">
        <f>D45*Inputs!$C$31</f>
        <v>6072</v>
      </c>
      <c r="E48" s="47">
        <f>E45*Inputs!$C$31</f>
        <v>6732</v>
      </c>
      <c r="F48" s="47">
        <f>F45*Inputs!$C$31</f>
        <v>7458</v>
      </c>
      <c r="G48" s="47">
        <f>G45*Inputs!$C$31</f>
        <v>8316</v>
      </c>
      <c r="H48" s="47">
        <f>H45*Inputs!$C$31</f>
        <v>9240</v>
      </c>
      <c r="I48" s="47">
        <f>I45*Inputs!$C$31</f>
        <v>10296</v>
      </c>
      <c r="J48" s="47">
        <f>J45*Inputs!$C$31</f>
        <v>11484</v>
      </c>
      <c r="K48" s="47">
        <f>K45*Inputs!$C$31</f>
        <v>12804</v>
      </c>
      <c r="L48" s="47">
        <f>L45*Inputs!$C$31</f>
        <v>14256</v>
      </c>
      <c r="M48" s="56">
        <f>M45*Inputs!$C$31</f>
        <v>15906</v>
      </c>
    </row>
    <row r="49" spans="1:13">
      <c r="A49" s="106" t="s">
        <v>184</v>
      </c>
      <c r="B49" s="70">
        <f>Inputs!$B$12</f>
        <v>0</v>
      </c>
      <c r="C49" s="47">
        <f>Inputs!$B$12</f>
        <v>0</v>
      </c>
      <c r="D49" s="47">
        <f>Inputs!$B$12</f>
        <v>0</v>
      </c>
      <c r="E49" s="47">
        <f>Inputs!$B$12</f>
        <v>0</v>
      </c>
      <c r="F49" s="47">
        <f>Inputs!$B$12</f>
        <v>0</v>
      </c>
      <c r="G49" s="47">
        <f>Inputs!$B$12</f>
        <v>0</v>
      </c>
      <c r="H49" s="47">
        <f>Inputs!$B$12</f>
        <v>0</v>
      </c>
      <c r="I49" s="47">
        <f>Inputs!$B$12</f>
        <v>0</v>
      </c>
      <c r="J49" s="47">
        <f>Inputs!$B$12</f>
        <v>0</v>
      </c>
      <c r="K49" s="47">
        <f>Inputs!$B$12</f>
        <v>0</v>
      </c>
      <c r="L49" s="47">
        <f>Inputs!$B$12</f>
        <v>0</v>
      </c>
      <c r="M49" s="56">
        <f>Inputs!$B$12</f>
        <v>0</v>
      </c>
    </row>
    <row r="50" spans="1:13">
      <c r="A50" s="106" t="s">
        <v>185</v>
      </c>
      <c r="B50" s="70">
        <f t="shared" ref="B50:M50" si="10">B46-B47-B48-B49</f>
        <v>1875</v>
      </c>
      <c r="C50" s="47">
        <f t="shared" si="10"/>
        <v>2075</v>
      </c>
      <c r="D50" s="47">
        <f t="shared" si="10"/>
        <v>2300</v>
      </c>
      <c r="E50" s="47">
        <f t="shared" si="10"/>
        <v>2550</v>
      </c>
      <c r="F50" s="47">
        <f t="shared" si="10"/>
        <v>2825</v>
      </c>
      <c r="G50" s="47">
        <f t="shared" si="10"/>
        <v>3150</v>
      </c>
      <c r="H50" s="47">
        <f t="shared" si="10"/>
        <v>3500</v>
      </c>
      <c r="I50" s="47">
        <f t="shared" si="10"/>
        <v>3900</v>
      </c>
      <c r="J50" s="47">
        <f t="shared" si="10"/>
        <v>4350</v>
      </c>
      <c r="K50" s="47">
        <f t="shared" si="10"/>
        <v>4850</v>
      </c>
      <c r="L50" s="47">
        <f t="shared" si="10"/>
        <v>5400</v>
      </c>
      <c r="M50" s="56">
        <f t="shared" si="10"/>
        <v>6025</v>
      </c>
    </row>
    <row r="51" spans="1:13">
      <c r="A51" s="106" t="s">
        <v>186</v>
      </c>
      <c r="B51" s="70">
        <f>MAX(0,B50*(1-Inputs!$D$31))</f>
        <v>562.50000000000011</v>
      </c>
      <c r="C51" s="47">
        <f>MAX(0,C50*(1-Inputs!$D$31))</f>
        <v>622.50000000000011</v>
      </c>
      <c r="D51" s="47">
        <f>MAX(0,D50*(1-Inputs!$D$31))</f>
        <v>690.00000000000011</v>
      </c>
      <c r="E51" s="47">
        <f>MAX(0,E50*(1-Inputs!$D$31))</f>
        <v>765.00000000000011</v>
      </c>
      <c r="F51" s="47">
        <f>MAX(0,F50*(1-Inputs!$D$31))</f>
        <v>847.50000000000011</v>
      </c>
      <c r="G51" s="47">
        <f>MAX(0,G50*(1-Inputs!$D$31))</f>
        <v>945.00000000000011</v>
      </c>
      <c r="H51" s="47">
        <f>MAX(0,H50*(1-Inputs!$D$31))</f>
        <v>1050.0000000000002</v>
      </c>
      <c r="I51" s="47">
        <f>MAX(0,I50*(1-Inputs!$D$31))</f>
        <v>1170.0000000000002</v>
      </c>
      <c r="J51" s="47">
        <f>MAX(0,J50*(1-Inputs!$D$31))</f>
        <v>1305.0000000000002</v>
      </c>
      <c r="K51" s="47">
        <f>MAX(0,K50*(1-Inputs!$D$31))</f>
        <v>1455.0000000000002</v>
      </c>
      <c r="L51" s="47">
        <f>MAX(0,L50*(1-Inputs!$D$31))</f>
        <v>1620.0000000000002</v>
      </c>
      <c r="M51" s="56">
        <f>MAX(0,M50*(1-Inputs!$D$31))</f>
        <v>1807.5000000000002</v>
      </c>
    </row>
    <row r="52" spans="1:13">
      <c r="A52" s="106" t="s">
        <v>187</v>
      </c>
      <c r="B52" s="70">
        <f>MAX(0,B50*Inputs!$D$31)</f>
        <v>1312.5</v>
      </c>
      <c r="C52" s="47">
        <f>MAX(0,C50*Inputs!$D$31)</f>
        <v>1452.5</v>
      </c>
      <c r="D52" s="47">
        <f>MAX(0,D50*Inputs!$D$31)</f>
        <v>1610</v>
      </c>
      <c r="E52" s="47">
        <f>MAX(0,E50*Inputs!$D$31)</f>
        <v>1785</v>
      </c>
      <c r="F52" s="47">
        <f>MAX(0,F50*Inputs!$D$31)</f>
        <v>1977.4999999999998</v>
      </c>
      <c r="G52" s="47">
        <f>MAX(0,G50*Inputs!$D$31)</f>
        <v>2205</v>
      </c>
      <c r="H52" s="47">
        <f>MAX(0,H50*Inputs!$D$31)</f>
        <v>2450</v>
      </c>
      <c r="I52" s="47">
        <f>MAX(0,I50*Inputs!$D$31)</f>
        <v>2730</v>
      </c>
      <c r="J52" s="47">
        <f>MAX(0,J50*Inputs!$D$31)</f>
        <v>3045</v>
      </c>
      <c r="K52" s="47">
        <f>MAX(0,K50*Inputs!$D$31)</f>
        <v>3395</v>
      </c>
      <c r="L52" s="47">
        <f>MAX(0,L50*Inputs!$D$31)</f>
        <v>3779.9999999999995</v>
      </c>
      <c r="M52" s="56">
        <f>MAX(0,M50*Inputs!$D$31)</f>
        <v>4217.5</v>
      </c>
    </row>
    <row r="53" spans="1:13">
      <c r="A53" s="106" t="s">
        <v>188</v>
      </c>
      <c r="B53" s="96">
        <f>FLOOR(B52/Inputs!$B$16,1)</f>
        <v>8</v>
      </c>
      <c r="C53" s="97">
        <f>FLOOR(C52/Inputs!$B$16,1)</f>
        <v>9</v>
      </c>
      <c r="D53" s="97">
        <f>FLOOR(D52/Inputs!$B$16,1)</f>
        <v>10</v>
      </c>
      <c r="E53" s="97">
        <f>FLOOR(E52/Inputs!$B$16,1)</f>
        <v>11</v>
      </c>
      <c r="F53" s="97">
        <f>FLOOR(F52/Inputs!$B$16,1)</f>
        <v>13</v>
      </c>
      <c r="G53" s="97">
        <f>FLOOR(G52/Inputs!$B$16,1)</f>
        <v>14</v>
      </c>
      <c r="H53" s="97">
        <f>FLOOR(H52/Inputs!$B$16,1)</f>
        <v>16</v>
      </c>
      <c r="I53" s="97">
        <f>FLOOR(I52/Inputs!$B$16,1)</f>
        <v>18</v>
      </c>
      <c r="J53" s="97">
        <f>FLOOR(J52/Inputs!$B$16,1)</f>
        <v>20</v>
      </c>
      <c r="K53" s="97">
        <f>FLOOR(K52/Inputs!$B$16,1)</f>
        <v>22</v>
      </c>
      <c r="L53" s="97">
        <f>FLOOR(L52/Inputs!$B$16,1)</f>
        <v>25</v>
      </c>
      <c r="M53" s="98">
        <f>FLOOR(M52/Inputs!$B$16,1)</f>
        <v>28</v>
      </c>
    </row>
    <row r="54" spans="1:13">
      <c r="A54" s="106" t="s">
        <v>29</v>
      </c>
      <c r="B54" s="70">
        <f>B50</f>
        <v>1875</v>
      </c>
      <c r="C54" s="47">
        <f t="shared" ref="C54:M54" si="11">B54+C50</f>
        <v>3950</v>
      </c>
      <c r="D54" s="47">
        <f t="shared" si="11"/>
        <v>6250</v>
      </c>
      <c r="E54" s="47">
        <f t="shared" si="11"/>
        <v>8800</v>
      </c>
      <c r="F54" s="47">
        <f t="shared" si="11"/>
        <v>11625</v>
      </c>
      <c r="G54" s="47">
        <f t="shared" si="11"/>
        <v>14775</v>
      </c>
      <c r="H54" s="47">
        <f t="shared" si="11"/>
        <v>18275</v>
      </c>
      <c r="I54" s="47">
        <f t="shared" si="11"/>
        <v>22175</v>
      </c>
      <c r="J54" s="47">
        <f t="shared" si="11"/>
        <v>26525</v>
      </c>
      <c r="K54" s="47">
        <f t="shared" si="11"/>
        <v>31375</v>
      </c>
      <c r="L54" s="47">
        <f t="shared" si="11"/>
        <v>36775</v>
      </c>
      <c r="M54" s="56">
        <f t="shared" si="11"/>
        <v>42800</v>
      </c>
    </row>
    <row r="55" spans="1:13">
      <c r="A55" s="106" t="s">
        <v>139</v>
      </c>
      <c r="B55" s="72">
        <f t="shared" ref="B55:M55" si="12">B46/B48</f>
        <v>4.4090909090909092</v>
      </c>
      <c r="C55" s="53">
        <f t="shared" si="12"/>
        <v>4.4090909090909092</v>
      </c>
      <c r="D55" s="53">
        <f t="shared" si="12"/>
        <v>4.4090909090909092</v>
      </c>
      <c r="E55" s="53">
        <f t="shared" si="12"/>
        <v>4.4090909090909092</v>
      </c>
      <c r="F55" s="53">
        <f t="shared" si="12"/>
        <v>4.4090909090909092</v>
      </c>
      <c r="G55" s="53">
        <f t="shared" si="12"/>
        <v>4.4090909090909092</v>
      </c>
      <c r="H55" s="53">
        <f t="shared" si="12"/>
        <v>4.4090909090909092</v>
      </c>
      <c r="I55" s="53">
        <f t="shared" si="12"/>
        <v>4.4090909090909092</v>
      </c>
      <c r="J55" s="53">
        <f t="shared" si="12"/>
        <v>4.4090909090909092</v>
      </c>
      <c r="K55" s="53">
        <f t="shared" si="12"/>
        <v>4.4090909090909092</v>
      </c>
      <c r="L55" s="53">
        <f t="shared" si="12"/>
        <v>4.4090909090909092</v>
      </c>
      <c r="M55" s="73">
        <f t="shared" si="12"/>
        <v>4.4090909090909092</v>
      </c>
    </row>
    <row r="56" spans="1:13">
      <c r="A56" s="106" t="s">
        <v>140</v>
      </c>
      <c r="B56" s="44">
        <f t="shared" ref="B56:M56" si="13">B48/B46</f>
        <v>0.22680412371134021</v>
      </c>
      <c r="C56" s="50">
        <f t="shared" si="13"/>
        <v>0.22680412371134021</v>
      </c>
      <c r="D56" s="50">
        <f t="shared" si="13"/>
        <v>0.22680412371134021</v>
      </c>
      <c r="E56" s="50">
        <f t="shared" si="13"/>
        <v>0.22680412371134021</v>
      </c>
      <c r="F56" s="50">
        <f t="shared" si="13"/>
        <v>0.22680412371134021</v>
      </c>
      <c r="G56" s="50">
        <f t="shared" si="13"/>
        <v>0.22680412371134021</v>
      </c>
      <c r="H56" s="50">
        <f t="shared" si="13"/>
        <v>0.22680412371134021</v>
      </c>
      <c r="I56" s="50">
        <f t="shared" si="13"/>
        <v>0.22680412371134021</v>
      </c>
      <c r="J56" s="50">
        <f t="shared" si="13"/>
        <v>0.22680412371134021</v>
      </c>
      <c r="K56" s="50">
        <f t="shared" si="13"/>
        <v>0.22680412371134021</v>
      </c>
      <c r="L56" s="50">
        <f t="shared" si="13"/>
        <v>0.22680412371134021</v>
      </c>
      <c r="M56" s="71">
        <f t="shared" si="13"/>
        <v>0.22680412371134021</v>
      </c>
    </row>
    <row r="57" spans="1:13">
      <c r="A57" s="106" t="s">
        <v>189</v>
      </c>
      <c r="B57" s="70">
        <f>Inputs!$B$25-Inputs!$C$31</f>
        <v>34</v>
      </c>
      <c r="C57" s="47">
        <f>Inputs!$B$25-Inputs!$C$31</f>
        <v>34</v>
      </c>
      <c r="D57" s="47">
        <f>Inputs!$B$25-Inputs!$C$31</f>
        <v>34</v>
      </c>
      <c r="E57" s="47">
        <f>Inputs!$B$25-Inputs!$C$31</f>
        <v>34</v>
      </c>
      <c r="F57" s="47">
        <f>Inputs!$B$25-Inputs!$C$31</f>
        <v>34</v>
      </c>
      <c r="G57" s="47">
        <f>Inputs!$B$25-Inputs!$C$31</f>
        <v>34</v>
      </c>
      <c r="H57" s="47">
        <f>Inputs!$B$25-Inputs!$C$31</f>
        <v>34</v>
      </c>
      <c r="I57" s="47">
        <f>Inputs!$B$25-Inputs!$C$31</f>
        <v>34</v>
      </c>
      <c r="J57" s="47">
        <f>Inputs!$B$25-Inputs!$C$31</f>
        <v>34</v>
      </c>
      <c r="K57" s="47">
        <f>Inputs!$B$25-Inputs!$C$31</f>
        <v>34</v>
      </c>
      <c r="L57" s="47">
        <f>Inputs!$B$25-Inputs!$C$31</f>
        <v>34</v>
      </c>
      <c r="M57" s="56">
        <f>Inputs!$B$25-Inputs!$C$31</f>
        <v>34</v>
      </c>
    </row>
    <row r="58" spans="1:13">
      <c r="A58" s="106" t="s">
        <v>190</v>
      </c>
      <c r="B58" s="39" t="str">
        <f t="shared" ref="B58:M58" si="14">IF(B50&gt;0,"Profitable","Loss / review")</f>
        <v>Profitable</v>
      </c>
      <c r="C58" s="40" t="str">
        <f t="shared" si="14"/>
        <v>Profitable</v>
      </c>
      <c r="D58" s="40" t="str">
        <f t="shared" si="14"/>
        <v>Profitable</v>
      </c>
      <c r="E58" s="40" t="str">
        <f t="shared" si="14"/>
        <v>Profitable</v>
      </c>
      <c r="F58" s="40" t="str">
        <f t="shared" si="14"/>
        <v>Profitable</v>
      </c>
      <c r="G58" s="40" t="str">
        <f t="shared" si="14"/>
        <v>Profitable</v>
      </c>
      <c r="H58" s="40" t="str">
        <f t="shared" si="14"/>
        <v>Profitable</v>
      </c>
      <c r="I58" s="40" t="str">
        <f t="shared" si="14"/>
        <v>Profitable</v>
      </c>
      <c r="J58" s="40" t="str">
        <f t="shared" si="14"/>
        <v>Profitable</v>
      </c>
      <c r="K58" s="40" t="str">
        <f t="shared" si="14"/>
        <v>Profitable</v>
      </c>
      <c r="L58" s="40" t="str">
        <f t="shared" si="14"/>
        <v>Profitable</v>
      </c>
      <c r="M58" s="41" t="str">
        <f t="shared" si="14"/>
        <v>Profitable</v>
      </c>
    </row>
    <row r="59" spans="1:13">
      <c r="A59" s="107" t="s">
        <v>26</v>
      </c>
      <c r="B59" s="45">
        <f>Inputs!$D$31</f>
        <v>0.7</v>
      </c>
      <c r="C59" s="51">
        <f>Inputs!$D$31</f>
        <v>0.7</v>
      </c>
      <c r="D59" s="51">
        <f>Inputs!$D$31</f>
        <v>0.7</v>
      </c>
      <c r="E59" s="51">
        <f>Inputs!$D$31</f>
        <v>0.7</v>
      </c>
      <c r="F59" s="51">
        <f>Inputs!$D$31</f>
        <v>0.7</v>
      </c>
      <c r="G59" s="51">
        <f>Inputs!$D$31</f>
        <v>0.7</v>
      </c>
      <c r="H59" s="51">
        <f>Inputs!$D$31</f>
        <v>0.7</v>
      </c>
      <c r="I59" s="51">
        <f>Inputs!$D$31</f>
        <v>0.7</v>
      </c>
      <c r="J59" s="51">
        <f>Inputs!$D$31</f>
        <v>0.7</v>
      </c>
      <c r="K59" s="51">
        <f>Inputs!$D$31</f>
        <v>0.7</v>
      </c>
      <c r="L59" s="51">
        <f>Inputs!$D$31</f>
        <v>0.7</v>
      </c>
      <c r="M59" s="76">
        <f>Inputs!$D$31</f>
        <v>0.7</v>
      </c>
    </row>
  </sheetData>
  <mergeCells count="4">
    <mergeCell ref="A1:M2"/>
    <mergeCell ref="A4:M4"/>
    <mergeCell ref="A23:M23"/>
    <mergeCell ref="A42:M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4"/>
  <sheetViews>
    <sheetView showGridLines="0" workbookViewId="0">
      <selection sqref="A1:O2"/>
    </sheetView>
  </sheetViews>
  <sheetFormatPr defaultRowHeight="13.8"/>
  <cols>
    <col min="1" max="1" width="15" customWidth="1"/>
    <col min="2" max="2" width="13.09765625" customWidth="1"/>
    <col min="3" max="3" width="11.8984375" customWidth="1"/>
    <col min="4" max="4" width="13.09765625" customWidth="1"/>
    <col min="5" max="7" width="11.19921875" customWidth="1"/>
    <col min="8" max="8" width="15.59765625" customWidth="1"/>
    <col min="9" max="9" width="16.8984375" customWidth="1"/>
    <col min="10" max="10" width="15" customWidth="1"/>
    <col min="11" max="11" width="16.19921875" customWidth="1"/>
    <col min="12" max="12" width="15" customWidth="1"/>
    <col min="13" max="14" width="9.3984375" customWidth="1"/>
    <col min="15" max="15" width="13.09765625" customWidth="1"/>
    <col min="16" max="63" width="10.69921875" customWidth="1"/>
  </cols>
  <sheetData>
    <row r="1" spans="1:63" ht="43.5" customHeight="1">
      <c r="A1" s="154" t="s">
        <v>193</v>
      </c>
      <c r="B1" s="154" t="s">
        <v>193</v>
      </c>
      <c r="C1" s="154" t="s">
        <v>193</v>
      </c>
      <c r="D1" s="154" t="s">
        <v>193</v>
      </c>
      <c r="E1" s="154" t="s">
        <v>193</v>
      </c>
      <c r="F1" s="154" t="s">
        <v>193</v>
      </c>
      <c r="G1" s="154" t="s">
        <v>193</v>
      </c>
      <c r="H1" s="154" t="s">
        <v>193</v>
      </c>
      <c r="I1" s="154" t="s">
        <v>193</v>
      </c>
      <c r="J1" s="154" t="s">
        <v>193</v>
      </c>
      <c r="K1" s="154" t="s">
        <v>193</v>
      </c>
      <c r="L1" s="154" t="s">
        <v>193</v>
      </c>
      <c r="M1" s="154" t="s">
        <v>193</v>
      </c>
      <c r="N1" s="154" t="s">
        <v>193</v>
      </c>
      <c r="O1" s="154" t="s">
        <v>193</v>
      </c>
    </row>
    <row r="2" spans="1:63" ht="43.5" customHeight="1">
      <c r="A2" s="154" t="s">
        <v>193</v>
      </c>
      <c r="B2" s="154" t="s">
        <v>193</v>
      </c>
      <c r="C2" s="154" t="s">
        <v>193</v>
      </c>
      <c r="D2" s="154" t="s">
        <v>193</v>
      </c>
      <c r="E2" s="154" t="s">
        <v>193</v>
      </c>
      <c r="F2" s="154" t="s">
        <v>193</v>
      </c>
      <c r="G2" s="154" t="s">
        <v>193</v>
      </c>
      <c r="H2" s="154" t="s">
        <v>193</v>
      </c>
      <c r="I2" s="154" t="s">
        <v>193</v>
      </c>
      <c r="J2" s="154" t="s">
        <v>193</v>
      </c>
      <c r="K2" s="154" t="s">
        <v>193</v>
      </c>
      <c r="L2" s="154" t="s">
        <v>193</v>
      </c>
      <c r="M2" s="154" t="s">
        <v>193</v>
      </c>
      <c r="N2" s="154" t="s">
        <v>193</v>
      </c>
      <c r="O2" s="154" t="s">
        <v>193</v>
      </c>
    </row>
    <row r="4" spans="1:63" ht="41.4">
      <c r="A4" s="155" t="s">
        <v>194</v>
      </c>
      <c r="B4" s="155" t="s">
        <v>194</v>
      </c>
      <c r="C4" s="155" t="s">
        <v>194</v>
      </c>
      <c r="D4" s="155" t="s">
        <v>194</v>
      </c>
      <c r="E4" s="155" t="s">
        <v>194</v>
      </c>
      <c r="F4" s="155" t="s">
        <v>194</v>
      </c>
      <c r="G4" s="155" t="s">
        <v>194</v>
      </c>
      <c r="H4" s="155" t="s">
        <v>194</v>
      </c>
      <c r="I4" s="155" t="s">
        <v>194</v>
      </c>
      <c r="J4" s="155" t="s">
        <v>194</v>
      </c>
      <c r="K4" s="155" t="s">
        <v>194</v>
      </c>
      <c r="L4" s="155" t="s">
        <v>194</v>
      </c>
      <c r="M4" s="155" t="s">
        <v>194</v>
      </c>
      <c r="N4" s="155" t="s">
        <v>194</v>
      </c>
      <c r="O4" s="155" t="s">
        <v>194</v>
      </c>
      <c r="P4" s="110" t="s">
        <v>195</v>
      </c>
      <c r="Q4" s="111" t="s">
        <v>195</v>
      </c>
      <c r="R4" s="111" t="s">
        <v>195</v>
      </c>
      <c r="S4" s="111" t="s">
        <v>195</v>
      </c>
      <c r="T4" s="111" t="s">
        <v>195</v>
      </c>
      <c r="U4" s="111" t="s">
        <v>195</v>
      </c>
      <c r="V4" s="111" t="s">
        <v>195</v>
      </c>
      <c r="W4" s="111" t="s">
        <v>195</v>
      </c>
      <c r="X4" s="111" t="s">
        <v>195</v>
      </c>
      <c r="Y4" s="111" t="s">
        <v>195</v>
      </c>
      <c r="Z4" s="111" t="s">
        <v>195</v>
      </c>
      <c r="AA4" s="111" t="s">
        <v>195</v>
      </c>
      <c r="AB4" s="111" t="s">
        <v>196</v>
      </c>
      <c r="AC4" s="111" t="s">
        <v>196</v>
      </c>
      <c r="AD4" s="111" t="s">
        <v>196</v>
      </c>
      <c r="AE4" s="111" t="s">
        <v>196</v>
      </c>
      <c r="AF4" s="111" t="s">
        <v>196</v>
      </c>
      <c r="AG4" s="111" t="s">
        <v>196</v>
      </c>
      <c r="AH4" s="111" t="s">
        <v>196</v>
      </c>
      <c r="AI4" s="111" t="s">
        <v>196</v>
      </c>
      <c r="AJ4" s="111" t="s">
        <v>196</v>
      </c>
      <c r="AK4" s="111" t="s">
        <v>196</v>
      </c>
      <c r="AL4" s="111" t="s">
        <v>196</v>
      </c>
      <c r="AM4" s="111" t="s">
        <v>196</v>
      </c>
      <c r="AN4" s="111" t="s">
        <v>197</v>
      </c>
      <c r="AO4" s="111" t="s">
        <v>197</v>
      </c>
      <c r="AP4" s="111" t="s">
        <v>197</v>
      </c>
      <c r="AQ4" s="111" t="s">
        <v>197</v>
      </c>
      <c r="AR4" s="111" t="s">
        <v>197</v>
      </c>
      <c r="AS4" s="111" t="s">
        <v>197</v>
      </c>
      <c r="AT4" s="111" t="s">
        <v>197</v>
      </c>
      <c r="AU4" s="111" t="s">
        <v>197</v>
      </c>
      <c r="AV4" s="111" t="s">
        <v>197</v>
      </c>
      <c r="AW4" s="111" t="s">
        <v>197</v>
      </c>
      <c r="AX4" s="111" t="s">
        <v>197</v>
      </c>
      <c r="AY4" s="111" t="s">
        <v>197</v>
      </c>
      <c r="AZ4" s="111" t="s">
        <v>198</v>
      </c>
      <c r="BA4" s="111" t="s">
        <v>198</v>
      </c>
      <c r="BB4" s="111" t="s">
        <v>198</v>
      </c>
      <c r="BC4" s="111" t="s">
        <v>198</v>
      </c>
      <c r="BD4" s="111" t="s">
        <v>198</v>
      </c>
      <c r="BE4" s="111" t="s">
        <v>198</v>
      </c>
      <c r="BF4" s="111" t="s">
        <v>198</v>
      </c>
      <c r="BG4" s="111" t="s">
        <v>198</v>
      </c>
      <c r="BH4" s="111" t="s">
        <v>198</v>
      </c>
      <c r="BI4" s="111" t="s">
        <v>198</v>
      </c>
      <c r="BJ4" s="111" t="s">
        <v>198</v>
      </c>
      <c r="BK4" s="112" t="s">
        <v>198</v>
      </c>
    </row>
    <row r="5" spans="1:63" ht="27.6">
      <c r="A5" s="34" t="s">
        <v>199</v>
      </c>
      <c r="B5" s="35" t="s">
        <v>200</v>
      </c>
      <c r="C5" s="35" t="s">
        <v>25</v>
      </c>
      <c r="D5" s="35" t="s">
        <v>26</v>
      </c>
      <c r="E5" s="35" t="s">
        <v>201</v>
      </c>
      <c r="F5" s="35" t="s">
        <v>202</v>
      </c>
      <c r="G5" s="35" t="s">
        <v>27</v>
      </c>
      <c r="H5" s="35" t="s">
        <v>28</v>
      </c>
      <c r="I5" s="35" t="s">
        <v>29</v>
      </c>
      <c r="J5" s="35" t="s">
        <v>186</v>
      </c>
      <c r="K5" s="35" t="s">
        <v>203</v>
      </c>
      <c r="L5" s="35" t="s">
        <v>204</v>
      </c>
      <c r="M5" s="35" t="s">
        <v>139</v>
      </c>
      <c r="N5" s="35" t="s">
        <v>140</v>
      </c>
      <c r="O5" s="36" t="s">
        <v>205</v>
      </c>
      <c r="P5" s="113" t="s">
        <v>206</v>
      </c>
      <c r="Q5" s="114" t="s">
        <v>207</v>
      </c>
      <c r="R5" s="114" t="s">
        <v>208</v>
      </c>
      <c r="S5" s="114" t="s">
        <v>209</v>
      </c>
      <c r="T5" s="114" t="s">
        <v>210</v>
      </c>
      <c r="U5" s="114" t="s">
        <v>211</v>
      </c>
      <c r="V5" s="114" t="s">
        <v>212</v>
      </c>
      <c r="W5" s="114" t="s">
        <v>213</v>
      </c>
      <c r="X5" s="114" t="s">
        <v>214</v>
      </c>
      <c r="Y5" s="114" t="s">
        <v>215</v>
      </c>
      <c r="Z5" s="114" t="s">
        <v>216</v>
      </c>
      <c r="AA5" s="114" t="s">
        <v>217</v>
      </c>
      <c r="AB5" s="114" t="s">
        <v>218</v>
      </c>
      <c r="AC5" s="114" t="s">
        <v>219</v>
      </c>
      <c r="AD5" s="114" t="s">
        <v>220</v>
      </c>
      <c r="AE5" s="114" t="s">
        <v>221</v>
      </c>
      <c r="AF5" s="114" t="s">
        <v>222</v>
      </c>
      <c r="AG5" s="114" t="s">
        <v>223</v>
      </c>
      <c r="AH5" s="114" t="s">
        <v>224</v>
      </c>
      <c r="AI5" s="114" t="s">
        <v>225</v>
      </c>
      <c r="AJ5" s="114" t="s">
        <v>226</v>
      </c>
      <c r="AK5" s="114" t="s">
        <v>227</v>
      </c>
      <c r="AL5" s="114" t="s">
        <v>228</v>
      </c>
      <c r="AM5" s="114" t="s">
        <v>229</v>
      </c>
      <c r="AN5" s="114" t="s">
        <v>230</v>
      </c>
      <c r="AO5" s="114" t="s">
        <v>231</v>
      </c>
      <c r="AP5" s="114" t="s">
        <v>232</v>
      </c>
      <c r="AQ5" s="114" t="s">
        <v>233</v>
      </c>
      <c r="AR5" s="114" t="s">
        <v>234</v>
      </c>
      <c r="AS5" s="114" t="s">
        <v>235</v>
      </c>
      <c r="AT5" s="114" t="s">
        <v>236</v>
      </c>
      <c r="AU5" s="114" t="s">
        <v>237</v>
      </c>
      <c r="AV5" s="114" t="s">
        <v>238</v>
      </c>
      <c r="AW5" s="114" t="s">
        <v>239</v>
      </c>
      <c r="AX5" s="114" t="s">
        <v>240</v>
      </c>
      <c r="AY5" s="114" t="s">
        <v>241</v>
      </c>
      <c r="AZ5" s="114" t="s">
        <v>242</v>
      </c>
      <c r="BA5" s="114" t="s">
        <v>243</v>
      </c>
      <c r="BB5" s="114" t="s">
        <v>244</v>
      </c>
      <c r="BC5" s="114" t="s">
        <v>245</v>
      </c>
      <c r="BD5" s="114" t="s">
        <v>246</v>
      </c>
      <c r="BE5" s="114" t="s">
        <v>247</v>
      </c>
      <c r="BF5" s="114" t="s">
        <v>248</v>
      </c>
      <c r="BG5" s="114" t="s">
        <v>249</v>
      </c>
      <c r="BH5" s="114" t="s">
        <v>250</v>
      </c>
      <c r="BI5" s="114" t="s">
        <v>251</v>
      </c>
      <c r="BJ5" s="114" t="s">
        <v>252</v>
      </c>
      <c r="BK5" s="115" t="s">
        <v>253</v>
      </c>
    </row>
    <row r="6" spans="1:63">
      <c r="A6" s="58" t="s">
        <v>32</v>
      </c>
      <c r="B6" s="59" t="s">
        <v>16</v>
      </c>
      <c r="C6" s="17">
        <f>INDEX(Inputs!$C$29:$C$31,MATCH(B6,Inputs!$A$29:$A$31,0))</f>
        <v>126</v>
      </c>
      <c r="D6" s="31">
        <v>0.3</v>
      </c>
      <c r="E6" s="93">
        <f t="shared" ref="E6:E14" si="0">P6</f>
        <v>75</v>
      </c>
      <c r="F6" s="94">
        <f t="shared" ref="F6:F14" si="1">U6</f>
        <v>75</v>
      </c>
      <c r="G6" s="94">
        <f t="shared" ref="G6:G14" si="2">AA6</f>
        <v>75</v>
      </c>
      <c r="H6" s="46">
        <f t="shared" ref="H6:H14" si="3">AM6</f>
        <v>-2625</v>
      </c>
      <c r="I6" s="46">
        <f t="shared" ref="I6:I14" si="4">SUM(AB6:AM6)</f>
        <v>-31500</v>
      </c>
      <c r="J6" s="46">
        <f t="shared" ref="J6:J14" si="5">SUM(AN6:AY6)</f>
        <v>0</v>
      </c>
      <c r="K6" s="46">
        <f t="shared" ref="K6:K14" si="6">SUM(AZ6:BK6)</f>
        <v>0</v>
      </c>
      <c r="L6" s="46">
        <f t="shared" ref="L6:L14" si="7">AA6*$C6</f>
        <v>9450</v>
      </c>
      <c r="M6" s="52">
        <f>Inputs!$B$7/$C6</f>
        <v>2.3809523809523809</v>
      </c>
      <c r="N6" s="49">
        <f>$C6/Inputs!$B$7</f>
        <v>0.42</v>
      </c>
      <c r="O6" s="38" t="str">
        <f t="shared" ref="O6:O14" si="8">IF(I6&gt;0,"OK","Loss / review")</f>
        <v>Loss / review</v>
      </c>
      <c r="P6" s="93">
        <f>Inputs!$B$8</f>
        <v>75</v>
      </c>
      <c r="Q6" s="94">
        <f>MIN(FLOOR(P6*(1+Inputs!$B$13),1),P6+FLOOR(MAX(0,AZ6)/Inputs!$B$16,1))</f>
        <v>75</v>
      </c>
      <c r="R6" s="94">
        <f>MIN(FLOOR(Q6*(1+Inputs!$B$13),1),Q6+FLOOR(MAX(0,BA6)/Inputs!$B$16,1))</f>
        <v>75</v>
      </c>
      <c r="S6" s="94">
        <f>MIN(FLOOR(R6*(1+Inputs!$B$13),1),R6+FLOOR(MAX(0,BB6)/Inputs!$B$16,1))</f>
        <v>75</v>
      </c>
      <c r="T6" s="94">
        <f>MIN(FLOOR(S6*(1+Inputs!$B$13),1),S6+FLOOR(MAX(0,BC6)/Inputs!$B$16,1))</f>
        <v>75</v>
      </c>
      <c r="U6" s="94">
        <f>MIN(FLOOR(T6*(1+Inputs!$B$13),1),T6+FLOOR(MAX(0,BD6)/Inputs!$B$16,1))</f>
        <v>75</v>
      </c>
      <c r="V6" s="94">
        <f>MIN(FLOOR(U6*(1+Inputs!$B$13),1),U6+FLOOR(MAX(0,BE6)/Inputs!$B$16,1))</f>
        <v>75</v>
      </c>
      <c r="W6" s="94">
        <f>MIN(FLOOR(V6*(1+Inputs!$B$13),1),V6+FLOOR(MAX(0,BF6)/Inputs!$B$16,1))</f>
        <v>75</v>
      </c>
      <c r="X6" s="94">
        <f>MIN(FLOOR(W6*(1+Inputs!$B$13),1),W6+FLOOR(MAX(0,BG6)/Inputs!$B$16,1))</f>
        <v>75</v>
      </c>
      <c r="Y6" s="94">
        <f>MIN(FLOOR(X6*(1+Inputs!$B$13),1),X6+FLOOR(MAX(0,BH6)/Inputs!$B$16,1))</f>
        <v>75</v>
      </c>
      <c r="Z6" s="94">
        <f>MIN(FLOOR(Y6*(1+Inputs!$B$13),1),Y6+FLOOR(MAX(0,BI6)/Inputs!$B$16,1))</f>
        <v>75</v>
      </c>
      <c r="AA6" s="94">
        <f>MIN(FLOOR(Z6*(1+Inputs!$B$13),1),Z6+FLOOR(MAX(0,BJ6)/Inputs!$B$16,1))</f>
        <v>75</v>
      </c>
      <c r="AB6" s="46">
        <f>P6*Inputs!$B$10*Inputs!$B$7*(1-Inputs!$B$11)-P6*Inputs!$B$10*Inputs!$B$24-P6*Inputs!$B$10*$C6-Inputs!$B$12</f>
        <v>-2625</v>
      </c>
      <c r="AC6" s="46">
        <f>Q6*Inputs!$B$10*Inputs!$B$7*(1-Inputs!$B$11)-Q6*Inputs!$B$10*Inputs!$B$24-Q6*Inputs!$B$10*$C6-Inputs!$B$12</f>
        <v>-2625</v>
      </c>
      <c r="AD6" s="46">
        <f>R6*Inputs!$B$10*Inputs!$B$7*(1-Inputs!$B$11)-R6*Inputs!$B$10*Inputs!$B$24-R6*Inputs!$B$10*$C6-Inputs!$B$12</f>
        <v>-2625</v>
      </c>
      <c r="AE6" s="46">
        <f>S6*Inputs!$B$10*Inputs!$B$7*(1-Inputs!$B$11)-S6*Inputs!$B$10*Inputs!$B$24-S6*Inputs!$B$10*$C6-Inputs!$B$12</f>
        <v>-2625</v>
      </c>
      <c r="AF6" s="46">
        <f>T6*Inputs!$B$10*Inputs!$B$7*(1-Inputs!$B$11)-T6*Inputs!$B$10*Inputs!$B$24-T6*Inputs!$B$10*$C6-Inputs!$B$12</f>
        <v>-2625</v>
      </c>
      <c r="AG6" s="46">
        <f>U6*Inputs!$B$10*Inputs!$B$7*(1-Inputs!$B$11)-U6*Inputs!$B$10*Inputs!$B$24-U6*Inputs!$B$10*$C6-Inputs!$B$12</f>
        <v>-2625</v>
      </c>
      <c r="AH6" s="46">
        <f>V6*Inputs!$B$10*Inputs!$B$7*(1-Inputs!$B$11)-V6*Inputs!$B$10*Inputs!$B$24-V6*Inputs!$B$10*$C6-Inputs!$B$12</f>
        <v>-2625</v>
      </c>
      <c r="AI6" s="46">
        <f>W6*Inputs!$B$10*Inputs!$B$7*(1-Inputs!$B$11)-W6*Inputs!$B$10*Inputs!$B$24-W6*Inputs!$B$10*$C6-Inputs!$B$12</f>
        <v>-2625</v>
      </c>
      <c r="AJ6" s="46">
        <f>X6*Inputs!$B$10*Inputs!$B$7*(1-Inputs!$B$11)-X6*Inputs!$B$10*Inputs!$B$24-X6*Inputs!$B$10*$C6-Inputs!$B$12</f>
        <v>-2625</v>
      </c>
      <c r="AK6" s="46">
        <f>Y6*Inputs!$B$10*Inputs!$B$7*(1-Inputs!$B$11)-Y6*Inputs!$B$10*Inputs!$B$24-Y6*Inputs!$B$10*$C6-Inputs!$B$12</f>
        <v>-2625</v>
      </c>
      <c r="AL6" s="46">
        <f>Z6*Inputs!$B$10*Inputs!$B$7*(1-Inputs!$B$11)-Z6*Inputs!$B$10*Inputs!$B$24-Z6*Inputs!$B$10*$C6-Inputs!$B$12</f>
        <v>-2625</v>
      </c>
      <c r="AM6" s="46">
        <f>AA6*Inputs!$B$10*Inputs!$B$7*(1-Inputs!$B$11)-AA6*Inputs!$B$10*Inputs!$B$24-AA6*Inputs!$B$10*$C6-Inputs!$B$12</f>
        <v>-2625</v>
      </c>
      <c r="AN6" s="46">
        <f t="shared" ref="AN6:AN14" si="9">MAX(0,AB6*(1-$D6))</f>
        <v>0</v>
      </c>
      <c r="AO6" s="46">
        <f t="shared" ref="AO6:AO14" si="10">MAX(0,AC6*(1-$D6))</f>
        <v>0</v>
      </c>
      <c r="AP6" s="46">
        <f t="shared" ref="AP6:AP14" si="11">MAX(0,AD6*(1-$D6))</f>
        <v>0</v>
      </c>
      <c r="AQ6" s="46">
        <f t="shared" ref="AQ6:AQ14" si="12">MAX(0,AE6*(1-$D6))</f>
        <v>0</v>
      </c>
      <c r="AR6" s="46">
        <f t="shared" ref="AR6:AR14" si="13">MAX(0,AF6*(1-$D6))</f>
        <v>0</v>
      </c>
      <c r="AS6" s="46">
        <f t="shared" ref="AS6:AS14" si="14">MAX(0,AG6*(1-$D6))</f>
        <v>0</v>
      </c>
      <c r="AT6" s="46">
        <f t="shared" ref="AT6:AT14" si="15">MAX(0,AH6*(1-$D6))</f>
        <v>0</v>
      </c>
      <c r="AU6" s="46">
        <f t="shared" ref="AU6:AU14" si="16">MAX(0,AI6*(1-$D6))</f>
        <v>0</v>
      </c>
      <c r="AV6" s="46">
        <f t="shared" ref="AV6:AV14" si="17">MAX(0,AJ6*(1-$D6))</f>
        <v>0</v>
      </c>
      <c r="AW6" s="46">
        <f t="shared" ref="AW6:AW14" si="18">MAX(0,AK6*(1-$D6))</f>
        <v>0</v>
      </c>
      <c r="AX6" s="46">
        <f t="shared" ref="AX6:AX14" si="19">MAX(0,AL6*(1-$D6))</f>
        <v>0</v>
      </c>
      <c r="AY6" s="46">
        <f t="shared" ref="AY6:AY14" si="20">MAX(0,AM6*(1-$D6))</f>
        <v>0</v>
      </c>
      <c r="AZ6" s="46">
        <f t="shared" ref="AZ6:AZ14" si="21">MAX(0,AB6*$D6)</f>
        <v>0</v>
      </c>
      <c r="BA6" s="46">
        <f t="shared" ref="BA6:BA14" si="22">MAX(0,AC6*$D6)</f>
        <v>0</v>
      </c>
      <c r="BB6" s="46">
        <f t="shared" ref="BB6:BB14" si="23">MAX(0,AD6*$D6)</f>
        <v>0</v>
      </c>
      <c r="BC6" s="46">
        <f t="shared" ref="BC6:BC14" si="24">MAX(0,AE6*$D6)</f>
        <v>0</v>
      </c>
      <c r="BD6" s="46">
        <f t="shared" ref="BD6:BD14" si="25">MAX(0,AF6*$D6)</f>
        <v>0</v>
      </c>
      <c r="BE6" s="46">
        <f t="shared" ref="BE6:BE14" si="26">MAX(0,AG6*$D6)</f>
        <v>0</v>
      </c>
      <c r="BF6" s="46">
        <f t="shared" ref="BF6:BF14" si="27">MAX(0,AH6*$D6)</f>
        <v>0</v>
      </c>
      <c r="BG6" s="46">
        <f t="shared" ref="BG6:BG14" si="28">MAX(0,AI6*$D6)</f>
        <v>0</v>
      </c>
      <c r="BH6" s="46">
        <f t="shared" ref="BH6:BH14" si="29">MAX(0,AJ6*$D6)</f>
        <v>0</v>
      </c>
      <c r="BI6" s="46">
        <f t="shared" ref="BI6:BI14" si="30">MAX(0,AK6*$D6)</f>
        <v>0</v>
      </c>
      <c r="BJ6" s="46">
        <f t="shared" ref="BJ6:BJ14" si="31">MAX(0,AL6*$D6)</f>
        <v>0</v>
      </c>
      <c r="BK6" s="55">
        <f t="shared" ref="BK6:BK14" si="32">MAX(0,AM6*$D6)</f>
        <v>0</v>
      </c>
    </row>
    <row r="7" spans="1:63">
      <c r="A7" s="60" t="s">
        <v>254</v>
      </c>
      <c r="B7" s="61" t="s">
        <v>16</v>
      </c>
      <c r="C7" s="33">
        <f>INDEX(Inputs!$C$29:$C$31,MATCH(B7,Inputs!$A$29:$A$31,0))</f>
        <v>126</v>
      </c>
      <c r="D7" s="13">
        <v>0.5</v>
      </c>
      <c r="E7" s="96">
        <f t="shared" si="0"/>
        <v>75</v>
      </c>
      <c r="F7" s="97">
        <f t="shared" si="1"/>
        <v>75</v>
      </c>
      <c r="G7" s="97">
        <f t="shared" si="2"/>
        <v>75</v>
      </c>
      <c r="H7" s="47">
        <f t="shared" si="3"/>
        <v>-2625</v>
      </c>
      <c r="I7" s="47">
        <f t="shared" si="4"/>
        <v>-31500</v>
      </c>
      <c r="J7" s="47">
        <f t="shared" si="5"/>
        <v>0</v>
      </c>
      <c r="K7" s="47">
        <f t="shared" si="6"/>
        <v>0</v>
      </c>
      <c r="L7" s="47">
        <f t="shared" si="7"/>
        <v>9450</v>
      </c>
      <c r="M7" s="53">
        <f>Inputs!$B$7/$C7</f>
        <v>2.3809523809523809</v>
      </c>
      <c r="N7" s="50">
        <f>$C7/Inputs!$B$7</f>
        <v>0.42</v>
      </c>
      <c r="O7" s="41" t="str">
        <f t="shared" si="8"/>
        <v>Loss / review</v>
      </c>
      <c r="P7" s="96">
        <f>Inputs!$B$8</f>
        <v>75</v>
      </c>
      <c r="Q7" s="97">
        <f>MIN(FLOOR(P7*(1+Inputs!$B$13),1),P7+FLOOR(MAX(0,AZ7)/Inputs!$B$16,1))</f>
        <v>75</v>
      </c>
      <c r="R7" s="97">
        <f>MIN(FLOOR(Q7*(1+Inputs!$B$13),1),Q7+FLOOR(MAX(0,BA7)/Inputs!$B$16,1))</f>
        <v>75</v>
      </c>
      <c r="S7" s="97">
        <f>MIN(FLOOR(R7*(1+Inputs!$B$13),1),R7+FLOOR(MAX(0,BB7)/Inputs!$B$16,1))</f>
        <v>75</v>
      </c>
      <c r="T7" s="97">
        <f>MIN(FLOOR(S7*(1+Inputs!$B$13),1),S7+FLOOR(MAX(0,BC7)/Inputs!$B$16,1))</f>
        <v>75</v>
      </c>
      <c r="U7" s="97">
        <f>MIN(FLOOR(T7*(1+Inputs!$B$13),1),T7+FLOOR(MAX(0,BD7)/Inputs!$B$16,1))</f>
        <v>75</v>
      </c>
      <c r="V7" s="97">
        <f>MIN(FLOOR(U7*(1+Inputs!$B$13),1),U7+FLOOR(MAX(0,BE7)/Inputs!$B$16,1))</f>
        <v>75</v>
      </c>
      <c r="W7" s="97">
        <f>MIN(FLOOR(V7*(1+Inputs!$B$13),1),V7+FLOOR(MAX(0,BF7)/Inputs!$B$16,1))</f>
        <v>75</v>
      </c>
      <c r="X7" s="97">
        <f>MIN(FLOOR(W7*(1+Inputs!$B$13),1),W7+FLOOR(MAX(0,BG7)/Inputs!$B$16,1))</f>
        <v>75</v>
      </c>
      <c r="Y7" s="97">
        <f>MIN(FLOOR(X7*(1+Inputs!$B$13),1),X7+FLOOR(MAX(0,BH7)/Inputs!$B$16,1))</f>
        <v>75</v>
      </c>
      <c r="Z7" s="97">
        <f>MIN(FLOOR(Y7*(1+Inputs!$B$13),1),Y7+FLOOR(MAX(0,BI7)/Inputs!$B$16,1))</f>
        <v>75</v>
      </c>
      <c r="AA7" s="97">
        <f>MIN(FLOOR(Z7*(1+Inputs!$B$13),1),Z7+FLOOR(MAX(0,BJ7)/Inputs!$B$16,1))</f>
        <v>75</v>
      </c>
      <c r="AB7" s="47">
        <f>P7*Inputs!$B$10*Inputs!$B$7*(1-Inputs!$B$11)-P7*Inputs!$B$10*Inputs!$B$24-P7*Inputs!$B$10*$C7-Inputs!$B$12</f>
        <v>-2625</v>
      </c>
      <c r="AC7" s="47">
        <f>Q7*Inputs!$B$10*Inputs!$B$7*(1-Inputs!$B$11)-Q7*Inputs!$B$10*Inputs!$B$24-Q7*Inputs!$B$10*$C7-Inputs!$B$12</f>
        <v>-2625</v>
      </c>
      <c r="AD7" s="47">
        <f>R7*Inputs!$B$10*Inputs!$B$7*(1-Inputs!$B$11)-R7*Inputs!$B$10*Inputs!$B$24-R7*Inputs!$B$10*$C7-Inputs!$B$12</f>
        <v>-2625</v>
      </c>
      <c r="AE7" s="47">
        <f>S7*Inputs!$B$10*Inputs!$B$7*(1-Inputs!$B$11)-S7*Inputs!$B$10*Inputs!$B$24-S7*Inputs!$B$10*$C7-Inputs!$B$12</f>
        <v>-2625</v>
      </c>
      <c r="AF7" s="47">
        <f>T7*Inputs!$B$10*Inputs!$B$7*(1-Inputs!$B$11)-T7*Inputs!$B$10*Inputs!$B$24-T7*Inputs!$B$10*$C7-Inputs!$B$12</f>
        <v>-2625</v>
      </c>
      <c r="AG7" s="47">
        <f>U7*Inputs!$B$10*Inputs!$B$7*(1-Inputs!$B$11)-U7*Inputs!$B$10*Inputs!$B$24-U7*Inputs!$B$10*$C7-Inputs!$B$12</f>
        <v>-2625</v>
      </c>
      <c r="AH7" s="47">
        <f>V7*Inputs!$B$10*Inputs!$B$7*(1-Inputs!$B$11)-V7*Inputs!$B$10*Inputs!$B$24-V7*Inputs!$B$10*$C7-Inputs!$B$12</f>
        <v>-2625</v>
      </c>
      <c r="AI7" s="47">
        <f>W7*Inputs!$B$10*Inputs!$B$7*(1-Inputs!$B$11)-W7*Inputs!$B$10*Inputs!$B$24-W7*Inputs!$B$10*$C7-Inputs!$B$12</f>
        <v>-2625</v>
      </c>
      <c r="AJ7" s="47">
        <f>X7*Inputs!$B$10*Inputs!$B$7*(1-Inputs!$B$11)-X7*Inputs!$B$10*Inputs!$B$24-X7*Inputs!$B$10*$C7-Inputs!$B$12</f>
        <v>-2625</v>
      </c>
      <c r="AK7" s="47">
        <f>Y7*Inputs!$B$10*Inputs!$B$7*(1-Inputs!$B$11)-Y7*Inputs!$B$10*Inputs!$B$24-Y7*Inputs!$B$10*$C7-Inputs!$B$12</f>
        <v>-2625</v>
      </c>
      <c r="AL7" s="47">
        <f>Z7*Inputs!$B$10*Inputs!$B$7*(1-Inputs!$B$11)-Z7*Inputs!$B$10*Inputs!$B$24-Z7*Inputs!$B$10*$C7-Inputs!$B$12</f>
        <v>-2625</v>
      </c>
      <c r="AM7" s="47">
        <f>AA7*Inputs!$B$10*Inputs!$B$7*(1-Inputs!$B$11)-AA7*Inputs!$B$10*Inputs!$B$24-AA7*Inputs!$B$10*$C7-Inputs!$B$12</f>
        <v>-2625</v>
      </c>
      <c r="AN7" s="47">
        <f t="shared" si="9"/>
        <v>0</v>
      </c>
      <c r="AO7" s="47">
        <f t="shared" si="10"/>
        <v>0</v>
      </c>
      <c r="AP7" s="47">
        <f t="shared" si="11"/>
        <v>0</v>
      </c>
      <c r="AQ7" s="47">
        <f t="shared" si="12"/>
        <v>0</v>
      </c>
      <c r="AR7" s="47">
        <f t="shared" si="13"/>
        <v>0</v>
      </c>
      <c r="AS7" s="47">
        <f t="shared" si="14"/>
        <v>0</v>
      </c>
      <c r="AT7" s="47">
        <f t="shared" si="15"/>
        <v>0</v>
      </c>
      <c r="AU7" s="47">
        <f t="shared" si="16"/>
        <v>0</v>
      </c>
      <c r="AV7" s="47">
        <f t="shared" si="17"/>
        <v>0</v>
      </c>
      <c r="AW7" s="47">
        <f t="shared" si="18"/>
        <v>0</v>
      </c>
      <c r="AX7" s="47">
        <f t="shared" si="19"/>
        <v>0</v>
      </c>
      <c r="AY7" s="47">
        <f t="shared" si="20"/>
        <v>0</v>
      </c>
      <c r="AZ7" s="47">
        <f t="shared" si="21"/>
        <v>0</v>
      </c>
      <c r="BA7" s="47">
        <f t="shared" si="22"/>
        <v>0</v>
      </c>
      <c r="BB7" s="47">
        <f t="shared" si="23"/>
        <v>0</v>
      </c>
      <c r="BC7" s="47">
        <f t="shared" si="24"/>
        <v>0</v>
      </c>
      <c r="BD7" s="47">
        <f t="shared" si="25"/>
        <v>0</v>
      </c>
      <c r="BE7" s="47">
        <f t="shared" si="26"/>
        <v>0</v>
      </c>
      <c r="BF7" s="47">
        <f t="shared" si="27"/>
        <v>0</v>
      </c>
      <c r="BG7" s="47">
        <f t="shared" si="28"/>
        <v>0</v>
      </c>
      <c r="BH7" s="47">
        <f t="shared" si="29"/>
        <v>0</v>
      </c>
      <c r="BI7" s="47">
        <f t="shared" si="30"/>
        <v>0</v>
      </c>
      <c r="BJ7" s="47">
        <f t="shared" si="31"/>
        <v>0</v>
      </c>
      <c r="BK7" s="56">
        <f t="shared" si="32"/>
        <v>0</v>
      </c>
    </row>
    <row r="8" spans="1:63">
      <c r="A8" s="60" t="s">
        <v>255</v>
      </c>
      <c r="B8" s="61" t="s">
        <v>16</v>
      </c>
      <c r="C8" s="33">
        <f>INDEX(Inputs!$C$29:$C$31,MATCH(B8,Inputs!$A$29:$A$31,0))</f>
        <v>126</v>
      </c>
      <c r="D8" s="13">
        <v>0.7</v>
      </c>
      <c r="E8" s="96">
        <f t="shared" si="0"/>
        <v>75</v>
      </c>
      <c r="F8" s="97">
        <f t="shared" si="1"/>
        <v>75</v>
      </c>
      <c r="G8" s="97">
        <f t="shared" si="2"/>
        <v>75</v>
      </c>
      <c r="H8" s="47">
        <f t="shared" si="3"/>
        <v>-2625</v>
      </c>
      <c r="I8" s="47">
        <f t="shared" si="4"/>
        <v>-31500</v>
      </c>
      <c r="J8" s="47">
        <f t="shared" si="5"/>
        <v>0</v>
      </c>
      <c r="K8" s="47">
        <f t="shared" si="6"/>
        <v>0</v>
      </c>
      <c r="L8" s="47">
        <f t="shared" si="7"/>
        <v>9450</v>
      </c>
      <c r="M8" s="53">
        <f>Inputs!$B$7/$C8</f>
        <v>2.3809523809523809</v>
      </c>
      <c r="N8" s="50">
        <f>$C8/Inputs!$B$7</f>
        <v>0.42</v>
      </c>
      <c r="O8" s="41" t="str">
        <f t="shared" si="8"/>
        <v>Loss / review</v>
      </c>
      <c r="P8" s="96">
        <f>Inputs!$B$8</f>
        <v>75</v>
      </c>
      <c r="Q8" s="97">
        <f>MIN(FLOOR(P8*(1+Inputs!$B$13),1),P8+FLOOR(MAX(0,AZ8)/Inputs!$B$16,1))</f>
        <v>75</v>
      </c>
      <c r="R8" s="97">
        <f>MIN(FLOOR(Q8*(1+Inputs!$B$13),1),Q8+FLOOR(MAX(0,BA8)/Inputs!$B$16,1))</f>
        <v>75</v>
      </c>
      <c r="S8" s="97">
        <f>MIN(FLOOR(R8*(1+Inputs!$B$13),1),R8+FLOOR(MAX(0,BB8)/Inputs!$B$16,1))</f>
        <v>75</v>
      </c>
      <c r="T8" s="97">
        <f>MIN(FLOOR(S8*(1+Inputs!$B$13),1),S8+FLOOR(MAX(0,BC8)/Inputs!$B$16,1))</f>
        <v>75</v>
      </c>
      <c r="U8" s="97">
        <f>MIN(FLOOR(T8*(1+Inputs!$B$13),1),T8+FLOOR(MAX(0,BD8)/Inputs!$B$16,1))</f>
        <v>75</v>
      </c>
      <c r="V8" s="97">
        <f>MIN(FLOOR(U8*(1+Inputs!$B$13),1),U8+FLOOR(MAX(0,BE8)/Inputs!$B$16,1))</f>
        <v>75</v>
      </c>
      <c r="W8" s="97">
        <f>MIN(FLOOR(V8*(1+Inputs!$B$13),1),V8+FLOOR(MAX(0,BF8)/Inputs!$B$16,1))</f>
        <v>75</v>
      </c>
      <c r="X8" s="97">
        <f>MIN(FLOOR(W8*(1+Inputs!$B$13),1),W8+FLOOR(MAX(0,BG8)/Inputs!$B$16,1))</f>
        <v>75</v>
      </c>
      <c r="Y8" s="97">
        <f>MIN(FLOOR(X8*(1+Inputs!$B$13),1),X8+FLOOR(MAX(0,BH8)/Inputs!$B$16,1))</f>
        <v>75</v>
      </c>
      <c r="Z8" s="97">
        <f>MIN(FLOOR(Y8*(1+Inputs!$B$13),1),Y8+FLOOR(MAX(0,BI8)/Inputs!$B$16,1))</f>
        <v>75</v>
      </c>
      <c r="AA8" s="97">
        <f>MIN(FLOOR(Z8*(1+Inputs!$B$13),1),Z8+FLOOR(MAX(0,BJ8)/Inputs!$B$16,1))</f>
        <v>75</v>
      </c>
      <c r="AB8" s="47">
        <f>P8*Inputs!$B$10*Inputs!$B$7*(1-Inputs!$B$11)-P8*Inputs!$B$10*Inputs!$B$24-P8*Inputs!$B$10*$C8-Inputs!$B$12</f>
        <v>-2625</v>
      </c>
      <c r="AC8" s="47">
        <f>Q8*Inputs!$B$10*Inputs!$B$7*(1-Inputs!$B$11)-Q8*Inputs!$B$10*Inputs!$B$24-Q8*Inputs!$B$10*$C8-Inputs!$B$12</f>
        <v>-2625</v>
      </c>
      <c r="AD8" s="47">
        <f>R8*Inputs!$B$10*Inputs!$B$7*(1-Inputs!$B$11)-R8*Inputs!$B$10*Inputs!$B$24-R8*Inputs!$B$10*$C8-Inputs!$B$12</f>
        <v>-2625</v>
      </c>
      <c r="AE8" s="47">
        <f>S8*Inputs!$B$10*Inputs!$B$7*(1-Inputs!$B$11)-S8*Inputs!$B$10*Inputs!$B$24-S8*Inputs!$B$10*$C8-Inputs!$B$12</f>
        <v>-2625</v>
      </c>
      <c r="AF8" s="47">
        <f>T8*Inputs!$B$10*Inputs!$B$7*(1-Inputs!$B$11)-T8*Inputs!$B$10*Inputs!$B$24-T8*Inputs!$B$10*$C8-Inputs!$B$12</f>
        <v>-2625</v>
      </c>
      <c r="AG8" s="47">
        <f>U8*Inputs!$B$10*Inputs!$B$7*(1-Inputs!$B$11)-U8*Inputs!$B$10*Inputs!$B$24-U8*Inputs!$B$10*$C8-Inputs!$B$12</f>
        <v>-2625</v>
      </c>
      <c r="AH8" s="47">
        <f>V8*Inputs!$B$10*Inputs!$B$7*(1-Inputs!$B$11)-V8*Inputs!$B$10*Inputs!$B$24-V8*Inputs!$B$10*$C8-Inputs!$B$12</f>
        <v>-2625</v>
      </c>
      <c r="AI8" s="47">
        <f>W8*Inputs!$B$10*Inputs!$B$7*(1-Inputs!$B$11)-W8*Inputs!$B$10*Inputs!$B$24-W8*Inputs!$B$10*$C8-Inputs!$B$12</f>
        <v>-2625</v>
      </c>
      <c r="AJ8" s="47">
        <f>X8*Inputs!$B$10*Inputs!$B$7*(1-Inputs!$B$11)-X8*Inputs!$B$10*Inputs!$B$24-X8*Inputs!$B$10*$C8-Inputs!$B$12</f>
        <v>-2625</v>
      </c>
      <c r="AK8" s="47">
        <f>Y8*Inputs!$B$10*Inputs!$B$7*(1-Inputs!$B$11)-Y8*Inputs!$B$10*Inputs!$B$24-Y8*Inputs!$B$10*$C8-Inputs!$B$12</f>
        <v>-2625</v>
      </c>
      <c r="AL8" s="47">
        <f>Z8*Inputs!$B$10*Inputs!$B$7*(1-Inputs!$B$11)-Z8*Inputs!$B$10*Inputs!$B$24-Z8*Inputs!$B$10*$C8-Inputs!$B$12</f>
        <v>-2625</v>
      </c>
      <c r="AM8" s="47">
        <f>AA8*Inputs!$B$10*Inputs!$B$7*(1-Inputs!$B$11)-AA8*Inputs!$B$10*Inputs!$B$24-AA8*Inputs!$B$10*$C8-Inputs!$B$12</f>
        <v>-2625</v>
      </c>
      <c r="AN8" s="47">
        <f t="shared" si="9"/>
        <v>0</v>
      </c>
      <c r="AO8" s="47">
        <f t="shared" si="10"/>
        <v>0</v>
      </c>
      <c r="AP8" s="47">
        <f t="shared" si="11"/>
        <v>0</v>
      </c>
      <c r="AQ8" s="47">
        <f t="shared" si="12"/>
        <v>0</v>
      </c>
      <c r="AR8" s="47">
        <f t="shared" si="13"/>
        <v>0</v>
      </c>
      <c r="AS8" s="47">
        <f t="shared" si="14"/>
        <v>0</v>
      </c>
      <c r="AT8" s="47">
        <f t="shared" si="15"/>
        <v>0</v>
      </c>
      <c r="AU8" s="47">
        <f t="shared" si="16"/>
        <v>0</v>
      </c>
      <c r="AV8" s="47">
        <f t="shared" si="17"/>
        <v>0</v>
      </c>
      <c r="AW8" s="47">
        <f t="shared" si="18"/>
        <v>0</v>
      </c>
      <c r="AX8" s="47">
        <f t="shared" si="19"/>
        <v>0</v>
      </c>
      <c r="AY8" s="47">
        <f t="shared" si="20"/>
        <v>0</v>
      </c>
      <c r="AZ8" s="47">
        <f t="shared" si="21"/>
        <v>0</v>
      </c>
      <c r="BA8" s="47">
        <f t="shared" si="22"/>
        <v>0</v>
      </c>
      <c r="BB8" s="47">
        <f t="shared" si="23"/>
        <v>0</v>
      </c>
      <c r="BC8" s="47">
        <f t="shared" si="24"/>
        <v>0</v>
      </c>
      <c r="BD8" s="47">
        <f t="shared" si="25"/>
        <v>0</v>
      </c>
      <c r="BE8" s="47">
        <f t="shared" si="26"/>
        <v>0</v>
      </c>
      <c r="BF8" s="47">
        <f t="shared" si="27"/>
        <v>0</v>
      </c>
      <c r="BG8" s="47">
        <f t="shared" si="28"/>
        <v>0</v>
      </c>
      <c r="BH8" s="47">
        <f t="shared" si="29"/>
        <v>0</v>
      </c>
      <c r="BI8" s="47">
        <f t="shared" si="30"/>
        <v>0</v>
      </c>
      <c r="BJ8" s="47">
        <f t="shared" si="31"/>
        <v>0</v>
      </c>
      <c r="BK8" s="56">
        <f t="shared" si="32"/>
        <v>0</v>
      </c>
    </row>
    <row r="9" spans="1:63">
      <c r="A9" s="60" t="s">
        <v>256</v>
      </c>
      <c r="B9" s="61" t="s">
        <v>17</v>
      </c>
      <c r="C9" s="33">
        <f>INDEX(Inputs!$C$29:$C$31,MATCH(B9,Inputs!$A$29:$A$31,0))</f>
        <v>96</v>
      </c>
      <c r="D9" s="13">
        <v>0.3</v>
      </c>
      <c r="E9" s="96">
        <f t="shared" si="0"/>
        <v>75</v>
      </c>
      <c r="F9" s="97">
        <f t="shared" si="1"/>
        <v>75</v>
      </c>
      <c r="G9" s="97">
        <f t="shared" si="2"/>
        <v>75</v>
      </c>
      <c r="H9" s="47">
        <f t="shared" si="3"/>
        <v>-375</v>
      </c>
      <c r="I9" s="47">
        <f t="shared" si="4"/>
        <v>-4500</v>
      </c>
      <c r="J9" s="47">
        <f t="shared" si="5"/>
        <v>0</v>
      </c>
      <c r="K9" s="47">
        <f t="shared" si="6"/>
        <v>0</v>
      </c>
      <c r="L9" s="47">
        <f t="shared" si="7"/>
        <v>7200</v>
      </c>
      <c r="M9" s="53">
        <f>Inputs!$B$7/$C9</f>
        <v>3.125</v>
      </c>
      <c r="N9" s="50">
        <f>$C9/Inputs!$B$7</f>
        <v>0.32</v>
      </c>
      <c r="O9" s="41" t="str">
        <f t="shared" si="8"/>
        <v>Loss / review</v>
      </c>
      <c r="P9" s="96">
        <f>Inputs!$B$8</f>
        <v>75</v>
      </c>
      <c r="Q9" s="97">
        <f>MIN(FLOOR(P9*(1+Inputs!$B$13),1),P9+FLOOR(MAX(0,AZ9)/Inputs!$B$16,1))</f>
        <v>75</v>
      </c>
      <c r="R9" s="97">
        <f>MIN(FLOOR(Q9*(1+Inputs!$B$13),1),Q9+FLOOR(MAX(0,BA9)/Inputs!$B$16,1))</f>
        <v>75</v>
      </c>
      <c r="S9" s="97">
        <f>MIN(FLOOR(R9*(1+Inputs!$B$13),1),R9+FLOOR(MAX(0,BB9)/Inputs!$B$16,1))</f>
        <v>75</v>
      </c>
      <c r="T9" s="97">
        <f>MIN(FLOOR(S9*(1+Inputs!$B$13),1),S9+FLOOR(MAX(0,BC9)/Inputs!$B$16,1))</f>
        <v>75</v>
      </c>
      <c r="U9" s="97">
        <f>MIN(FLOOR(T9*(1+Inputs!$B$13),1),T9+FLOOR(MAX(0,BD9)/Inputs!$B$16,1))</f>
        <v>75</v>
      </c>
      <c r="V9" s="97">
        <f>MIN(FLOOR(U9*(1+Inputs!$B$13),1),U9+FLOOR(MAX(0,BE9)/Inputs!$B$16,1))</f>
        <v>75</v>
      </c>
      <c r="W9" s="97">
        <f>MIN(FLOOR(V9*(1+Inputs!$B$13),1),V9+FLOOR(MAX(0,BF9)/Inputs!$B$16,1))</f>
        <v>75</v>
      </c>
      <c r="X9" s="97">
        <f>MIN(FLOOR(W9*(1+Inputs!$B$13),1),W9+FLOOR(MAX(0,BG9)/Inputs!$B$16,1))</f>
        <v>75</v>
      </c>
      <c r="Y9" s="97">
        <f>MIN(FLOOR(X9*(1+Inputs!$B$13),1),X9+FLOOR(MAX(0,BH9)/Inputs!$B$16,1))</f>
        <v>75</v>
      </c>
      <c r="Z9" s="97">
        <f>MIN(FLOOR(Y9*(1+Inputs!$B$13),1),Y9+FLOOR(MAX(0,BI9)/Inputs!$B$16,1))</f>
        <v>75</v>
      </c>
      <c r="AA9" s="97">
        <f>MIN(FLOOR(Z9*(1+Inputs!$B$13),1),Z9+FLOOR(MAX(0,BJ9)/Inputs!$B$16,1))</f>
        <v>75</v>
      </c>
      <c r="AB9" s="47">
        <f>P9*Inputs!$B$10*Inputs!$B$7*(1-Inputs!$B$11)-P9*Inputs!$B$10*Inputs!$B$24-P9*Inputs!$B$10*$C9-Inputs!$B$12</f>
        <v>-375</v>
      </c>
      <c r="AC9" s="47">
        <f>Q9*Inputs!$B$10*Inputs!$B$7*(1-Inputs!$B$11)-Q9*Inputs!$B$10*Inputs!$B$24-Q9*Inputs!$B$10*$C9-Inputs!$B$12</f>
        <v>-375</v>
      </c>
      <c r="AD9" s="47">
        <f>R9*Inputs!$B$10*Inputs!$B$7*(1-Inputs!$B$11)-R9*Inputs!$B$10*Inputs!$B$24-R9*Inputs!$B$10*$C9-Inputs!$B$12</f>
        <v>-375</v>
      </c>
      <c r="AE9" s="47">
        <f>S9*Inputs!$B$10*Inputs!$B$7*(1-Inputs!$B$11)-S9*Inputs!$B$10*Inputs!$B$24-S9*Inputs!$B$10*$C9-Inputs!$B$12</f>
        <v>-375</v>
      </c>
      <c r="AF9" s="47">
        <f>T9*Inputs!$B$10*Inputs!$B$7*(1-Inputs!$B$11)-T9*Inputs!$B$10*Inputs!$B$24-T9*Inputs!$B$10*$C9-Inputs!$B$12</f>
        <v>-375</v>
      </c>
      <c r="AG9" s="47">
        <f>U9*Inputs!$B$10*Inputs!$B$7*(1-Inputs!$B$11)-U9*Inputs!$B$10*Inputs!$B$24-U9*Inputs!$B$10*$C9-Inputs!$B$12</f>
        <v>-375</v>
      </c>
      <c r="AH9" s="47">
        <f>V9*Inputs!$B$10*Inputs!$B$7*(1-Inputs!$B$11)-V9*Inputs!$B$10*Inputs!$B$24-V9*Inputs!$B$10*$C9-Inputs!$B$12</f>
        <v>-375</v>
      </c>
      <c r="AI9" s="47">
        <f>W9*Inputs!$B$10*Inputs!$B$7*(1-Inputs!$B$11)-W9*Inputs!$B$10*Inputs!$B$24-W9*Inputs!$B$10*$C9-Inputs!$B$12</f>
        <v>-375</v>
      </c>
      <c r="AJ9" s="47">
        <f>X9*Inputs!$B$10*Inputs!$B$7*(1-Inputs!$B$11)-X9*Inputs!$B$10*Inputs!$B$24-X9*Inputs!$B$10*$C9-Inputs!$B$12</f>
        <v>-375</v>
      </c>
      <c r="AK9" s="47">
        <f>Y9*Inputs!$B$10*Inputs!$B$7*(1-Inputs!$B$11)-Y9*Inputs!$B$10*Inputs!$B$24-Y9*Inputs!$B$10*$C9-Inputs!$B$12</f>
        <v>-375</v>
      </c>
      <c r="AL9" s="47">
        <f>Z9*Inputs!$B$10*Inputs!$B$7*(1-Inputs!$B$11)-Z9*Inputs!$B$10*Inputs!$B$24-Z9*Inputs!$B$10*$C9-Inputs!$B$12</f>
        <v>-375</v>
      </c>
      <c r="AM9" s="47">
        <f>AA9*Inputs!$B$10*Inputs!$B$7*(1-Inputs!$B$11)-AA9*Inputs!$B$10*Inputs!$B$24-AA9*Inputs!$B$10*$C9-Inputs!$B$12</f>
        <v>-375</v>
      </c>
      <c r="AN9" s="47">
        <f t="shared" si="9"/>
        <v>0</v>
      </c>
      <c r="AO9" s="47">
        <f t="shared" si="10"/>
        <v>0</v>
      </c>
      <c r="AP9" s="47">
        <f t="shared" si="11"/>
        <v>0</v>
      </c>
      <c r="AQ9" s="47">
        <f t="shared" si="12"/>
        <v>0</v>
      </c>
      <c r="AR9" s="47">
        <f t="shared" si="13"/>
        <v>0</v>
      </c>
      <c r="AS9" s="47">
        <f t="shared" si="14"/>
        <v>0</v>
      </c>
      <c r="AT9" s="47">
        <f t="shared" si="15"/>
        <v>0</v>
      </c>
      <c r="AU9" s="47">
        <f t="shared" si="16"/>
        <v>0</v>
      </c>
      <c r="AV9" s="47">
        <f t="shared" si="17"/>
        <v>0</v>
      </c>
      <c r="AW9" s="47">
        <f t="shared" si="18"/>
        <v>0</v>
      </c>
      <c r="AX9" s="47">
        <f t="shared" si="19"/>
        <v>0</v>
      </c>
      <c r="AY9" s="47">
        <f t="shared" si="20"/>
        <v>0</v>
      </c>
      <c r="AZ9" s="47">
        <f t="shared" si="21"/>
        <v>0</v>
      </c>
      <c r="BA9" s="47">
        <f t="shared" si="22"/>
        <v>0</v>
      </c>
      <c r="BB9" s="47">
        <f t="shared" si="23"/>
        <v>0</v>
      </c>
      <c r="BC9" s="47">
        <f t="shared" si="24"/>
        <v>0</v>
      </c>
      <c r="BD9" s="47">
        <f t="shared" si="25"/>
        <v>0</v>
      </c>
      <c r="BE9" s="47">
        <f t="shared" si="26"/>
        <v>0</v>
      </c>
      <c r="BF9" s="47">
        <f t="shared" si="27"/>
        <v>0</v>
      </c>
      <c r="BG9" s="47">
        <f t="shared" si="28"/>
        <v>0</v>
      </c>
      <c r="BH9" s="47">
        <f t="shared" si="29"/>
        <v>0</v>
      </c>
      <c r="BI9" s="47">
        <f t="shared" si="30"/>
        <v>0</v>
      </c>
      <c r="BJ9" s="47">
        <f t="shared" si="31"/>
        <v>0</v>
      </c>
      <c r="BK9" s="56">
        <f t="shared" si="32"/>
        <v>0</v>
      </c>
    </row>
    <row r="10" spans="1:63">
      <c r="A10" s="60" t="s">
        <v>35</v>
      </c>
      <c r="B10" s="61" t="s">
        <v>17</v>
      </c>
      <c r="C10" s="33">
        <f>INDEX(Inputs!$C$29:$C$31,MATCH(B10,Inputs!$A$29:$A$31,0))</f>
        <v>96</v>
      </c>
      <c r="D10" s="13">
        <v>0.5</v>
      </c>
      <c r="E10" s="96">
        <f t="shared" si="0"/>
        <v>75</v>
      </c>
      <c r="F10" s="97">
        <f t="shared" si="1"/>
        <v>75</v>
      </c>
      <c r="G10" s="97">
        <f t="shared" si="2"/>
        <v>75</v>
      </c>
      <c r="H10" s="47">
        <f t="shared" si="3"/>
        <v>-375</v>
      </c>
      <c r="I10" s="47">
        <f t="shared" si="4"/>
        <v>-4500</v>
      </c>
      <c r="J10" s="47">
        <f t="shared" si="5"/>
        <v>0</v>
      </c>
      <c r="K10" s="47">
        <f t="shared" si="6"/>
        <v>0</v>
      </c>
      <c r="L10" s="47">
        <f t="shared" si="7"/>
        <v>7200</v>
      </c>
      <c r="M10" s="53">
        <f>Inputs!$B$7/$C10</f>
        <v>3.125</v>
      </c>
      <c r="N10" s="50">
        <f>$C10/Inputs!$B$7</f>
        <v>0.32</v>
      </c>
      <c r="O10" s="41" t="str">
        <f t="shared" si="8"/>
        <v>Loss / review</v>
      </c>
      <c r="P10" s="96">
        <f>Inputs!$B$8</f>
        <v>75</v>
      </c>
      <c r="Q10" s="97">
        <f>MIN(FLOOR(P10*(1+Inputs!$B$13),1),P10+FLOOR(MAX(0,AZ10)/Inputs!$B$16,1))</f>
        <v>75</v>
      </c>
      <c r="R10" s="97">
        <f>MIN(FLOOR(Q10*(1+Inputs!$B$13),1),Q10+FLOOR(MAX(0,BA10)/Inputs!$B$16,1))</f>
        <v>75</v>
      </c>
      <c r="S10" s="97">
        <f>MIN(FLOOR(R10*(1+Inputs!$B$13),1),R10+FLOOR(MAX(0,BB10)/Inputs!$B$16,1))</f>
        <v>75</v>
      </c>
      <c r="T10" s="97">
        <f>MIN(FLOOR(S10*(1+Inputs!$B$13),1),S10+FLOOR(MAX(0,BC10)/Inputs!$B$16,1))</f>
        <v>75</v>
      </c>
      <c r="U10" s="97">
        <f>MIN(FLOOR(T10*(1+Inputs!$B$13),1),T10+FLOOR(MAX(0,BD10)/Inputs!$B$16,1))</f>
        <v>75</v>
      </c>
      <c r="V10" s="97">
        <f>MIN(FLOOR(U10*(1+Inputs!$B$13),1),U10+FLOOR(MAX(0,BE10)/Inputs!$B$16,1))</f>
        <v>75</v>
      </c>
      <c r="W10" s="97">
        <f>MIN(FLOOR(V10*(1+Inputs!$B$13),1),V10+FLOOR(MAX(0,BF10)/Inputs!$B$16,1))</f>
        <v>75</v>
      </c>
      <c r="X10" s="97">
        <f>MIN(FLOOR(W10*(1+Inputs!$B$13),1),W10+FLOOR(MAX(0,BG10)/Inputs!$B$16,1))</f>
        <v>75</v>
      </c>
      <c r="Y10" s="97">
        <f>MIN(FLOOR(X10*(1+Inputs!$B$13),1),X10+FLOOR(MAX(0,BH10)/Inputs!$B$16,1))</f>
        <v>75</v>
      </c>
      <c r="Z10" s="97">
        <f>MIN(FLOOR(Y10*(1+Inputs!$B$13),1),Y10+FLOOR(MAX(0,BI10)/Inputs!$B$16,1))</f>
        <v>75</v>
      </c>
      <c r="AA10" s="97">
        <f>MIN(FLOOR(Z10*(1+Inputs!$B$13),1),Z10+FLOOR(MAX(0,BJ10)/Inputs!$B$16,1))</f>
        <v>75</v>
      </c>
      <c r="AB10" s="47">
        <f>P10*Inputs!$B$10*Inputs!$B$7*(1-Inputs!$B$11)-P10*Inputs!$B$10*Inputs!$B$24-P10*Inputs!$B$10*$C10-Inputs!$B$12</f>
        <v>-375</v>
      </c>
      <c r="AC10" s="47">
        <f>Q10*Inputs!$B$10*Inputs!$B$7*(1-Inputs!$B$11)-Q10*Inputs!$B$10*Inputs!$B$24-Q10*Inputs!$B$10*$C10-Inputs!$B$12</f>
        <v>-375</v>
      </c>
      <c r="AD10" s="47">
        <f>R10*Inputs!$B$10*Inputs!$B$7*(1-Inputs!$B$11)-R10*Inputs!$B$10*Inputs!$B$24-R10*Inputs!$B$10*$C10-Inputs!$B$12</f>
        <v>-375</v>
      </c>
      <c r="AE10" s="47">
        <f>S10*Inputs!$B$10*Inputs!$B$7*(1-Inputs!$B$11)-S10*Inputs!$B$10*Inputs!$B$24-S10*Inputs!$B$10*$C10-Inputs!$B$12</f>
        <v>-375</v>
      </c>
      <c r="AF10" s="47">
        <f>T10*Inputs!$B$10*Inputs!$B$7*(1-Inputs!$B$11)-T10*Inputs!$B$10*Inputs!$B$24-T10*Inputs!$B$10*$C10-Inputs!$B$12</f>
        <v>-375</v>
      </c>
      <c r="AG10" s="47">
        <f>U10*Inputs!$B$10*Inputs!$B$7*(1-Inputs!$B$11)-U10*Inputs!$B$10*Inputs!$B$24-U10*Inputs!$B$10*$C10-Inputs!$B$12</f>
        <v>-375</v>
      </c>
      <c r="AH10" s="47">
        <f>V10*Inputs!$B$10*Inputs!$B$7*(1-Inputs!$B$11)-V10*Inputs!$B$10*Inputs!$B$24-V10*Inputs!$B$10*$C10-Inputs!$B$12</f>
        <v>-375</v>
      </c>
      <c r="AI10" s="47">
        <f>W10*Inputs!$B$10*Inputs!$B$7*(1-Inputs!$B$11)-W10*Inputs!$B$10*Inputs!$B$24-W10*Inputs!$B$10*$C10-Inputs!$B$12</f>
        <v>-375</v>
      </c>
      <c r="AJ10" s="47">
        <f>X10*Inputs!$B$10*Inputs!$B$7*(1-Inputs!$B$11)-X10*Inputs!$B$10*Inputs!$B$24-X10*Inputs!$B$10*$C10-Inputs!$B$12</f>
        <v>-375</v>
      </c>
      <c r="AK10" s="47">
        <f>Y10*Inputs!$B$10*Inputs!$B$7*(1-Inputs!$B$11)-Y10*Inputs!$B$10*Inputs!$B$24-Y10*Inputs!$B$10*$C10-Inputs!$B$12</f>
        <v>-375</v>
      </c>
      <c r="AL10" s="47">
        <f>Z10*Inputs!$B$10*Inputs!$B$7*(1-Inputs!$B$11)-Z10*Inputs!$B$10*Inputs!$B$24-Z10*Inputs!$B$10*$C10-Inputs!$B$12</f>
        <v>-375</v>
      </c>
      <c r="AM10" s="47">
        <f>AA10*Inputs!$B$10*Inputs!$B$7*(1-Inputs!$B$11)-AA10*Inputs!$B$10*Inputs!$B$24-AA10*Inputs!$B$10*$C10-Inputs!$B$12</f>
        <v>-375</v>
      </c>
      <c r="AN10" s="47">
        <f t="shared" si="9"/>
        <v>0</v>
      </c>
      <c r="AO10" s="47">
        <f t="shared" si="10"/>
        <v>0</v>
      </c>
      <c r="AP10" s="47">
        <f t="shared" si="11"/>
        <v>0</v>
      </c>
      <c r="AQ10" s="47">
        <f t="shared" si="12"/>
        <v>0</v>
      </c>
      <c r="AR10" s="47">
        <f t="shared" si="13"/>
        <v>0</v>
      </c>
      <c r="AS10" s="47">
        <f t="shared" si="14"/>
        <v>0</v>
      </c>
      <c r="AT10" s="47">
        <f t="shared" si="15"/>
        <v>0</v>
      </c>
      <c r="AU10" s="47">
        <f t="shared" si="16"/>
        <v>0</v>
      </c>
      <c r="AV10" s="47">
        <f t="shared" si="17"/>
        <v>0</v>
      </c>
      <c r="AW10" s="47">
        <f t="shared" si="18"/>
        <v>0</v>
      </c>
      <c r="AX10" s="47">
        <f t="shared" si="19"/>
        <v>0</v>
      </c>
      <c r="AY10" s="47">
        <f t="shared" si="20"/>
        <v>0</v>
      </c>
      <c r="AZ10" s="47">
        <f t="shared" si="21"/>
        <v>0</v>
      </c>
      <c r="BA10" s="47">
        <f t="shared" si="22"/>
        <v>0</v>
      </c>
      <c r="BB10" s="47">
        <f t="shared" si="23"/>
        <v>0</v>
      </c>
      <c r="BC10" s="47">
        <f t="shared" si="24"/>
        <v>0</v>
      </c>
      <c r="BD10" s="47">
        <f t="shared" si="25"/>
        <v>0</v>
      </c>
      <c r="BE10" s="47">
        <f t="shared" si="26"/>
        <v>0</v>
      </c>
      <c r="BF10" s="47">
        <f t="shared" si="27"/>
        <v>0</v>
      </c>
      <c r="BG10" s="47">
        <f t="shared" si="28"/>
        <v>0</v>
      </c>
      <c r="BH10" s="47">
        <f t="shared" si="29"/>
        <v>0</v>
      </c>
      <c r="BI10" s="47">
        <f t="shared" si="30"/>
        <v>0</v>
      </c>
      <c r="BJ10" s="47">
        <f t="shared" si="31"/>
        <v>0</v>
      </c>
      <c r="BK10" s="56">
        <f t="shared" si="32"/>
        <v>0</v>
      </c>
    </row>
    <row r="11" spans="1:63">
      <c r="A11" s="60" t="s">
        <v>257</v>
      </c>
      <c r="B11" s="61" t="s">
        <v>17</v>
      </c>
      <c r="C11" s="33">
        <f>INDEX(Inputs!$C$29:$C$31,MATCH(B11,Inputs!$A$29:$A$31,0))</f>
        <v>96</v>
      </c>
      <c r="D11" s="13">
        <v>0.7</v>
      </c>
      <c r="E11" s="96">
        <f t="shared" si="0"/>
        <v>75</v>
      </c>
      <c r="F11" s="97">
        <f t="shared" si="1"/>
        <v>75</v>
      </c>
      <c r="G11" s="97">
        <f t="shared" si="2"/>
        <v>75</v>
      </c>
      <c r="H11" s="47">
        <f t="shared" si="3"/>
        <v>-375</v>
      </c>
      <c r="I11" s="47">
        <f t="shared" si="4"/>
        <v>-4500</v>
      </c>
      <c r="J11" s="47">
        <f t="shared" si="5"/>
        <v>0</v>
      </c>
      <c r="K11" s="47">
        <f t="shared" si="6"/>
        <v>0</v>
      </c>
      <c r="L11" s="47">
        <f t="shared" si="7"/>
        <v>7200</v>
      </c>
      <c r="M11" s="53">
        <f>Inputs!$B$7/$C11</f>
        <v>3.125</v>
      </c>
      <c r="N11" s="50">
        <f>$C11/Inputs!$B$7</f>
        <v>0.32</v>
      </c>
      <c r="O11" s="41" t="str">
        <f t="shared" si="8"/>
        <v>Loss / review</v>
      </c>
      <c r="P11" s="96">
        <f>Inputs!$B$8</f>
        <v>75</v>
      </c>
      <c r="Q11" s="97">
        <f>MIN(FLOOR(P11*(1+Inputs!$B$13),1),P11+FLOOR(MAX(0,AZ11)/Inputs!$B$16,1))</f>
        <v>75</v>
      </c>
      <c r="R11" s="97">
        <f>MIN(FLOOR(Q11*(1+Inputs!$B$13),1),Q11+FLOOR(MAX(0,BA11)/Inputs!$B$16,1))</f>
        <v>75</v>
      </c>
      <c r="S11" s="97">
        <f>MIN(FLOOR(R11*(1+Inputs!$B$13),1),R11+FLOOR(MAX(0,BB11)/Inputs!$B$16,1))</f>
        <v>75</v>
      </c>
      <c r="T11" s="97">
        <f>MIN(FLOOR(S11*(1+Inputs!$B$13),1),S11+FLOOR(MAX(0,BC11)/Inputs!$B$16,1))</f>
        <v>75</v>
      </c>
      <c r="U11" s="97">
        <f>MIN(FLOOR(T11*(1+Inputs!$B$13),1),T11+FLOOR(MAX(0,BD11)/Inputs!$B$16,1))</f>
        <v>75</v>
      </c>
      <c r="V11" s="97">
        <f>MIN(FLOOR(U11*(1+Inputs!$B$13),1),U11+FLOOR(MAX(0,BE11)/Inputs!$B$16,1))</f>
        <v>75</v>
      </c>
      <c r="W11" s="97">
        <f>MIN(FLOOR(V11*(1+Inputs!$B$13),1),V11+FLOOR(MAX(0,BF11)/Inputs!$B$16,1))</f>
        <v>75</v>
      </c>
      <c r="X11" s="97">
        <f>MIN(FLOOR(W11*(1+Inputs!$B$13),1),W11+FLOOR(MAX(0,BG11)/Inputs!$B$16,1))</f>
        <v>75</v>
      </c>
      <c r="Y11" s="97">
        <f>MIN(FLOOR(X11*(1+Inputs!$B$13),1),X11+FLOOR(MAX(0,BH11)/Inputs!$B$16,1))</f>
        <v>75</v>
      </c>
      <c r="Z11" s="97">
        <f>MIN(FLOOR(Y11*(1+Inputs!$B$13),1),Y11+FLOOR(MAX(0,BI11)/Inputs!$B$16,1))</f>
        <v>75</v>
      </c>
      <c r="AA11" s="97">
        <f>MIN(FLOOR(Z11*(1+Inputs!$B$13),1),Z11+FLOOR(MAX(0,BJ11)/Inputs!$B$16,1))</f>
        <v>75</v>
      </c>
      <c r="AB11" s="47">
        <f>P11*Inputs!$B$10*Inputs!$B$7*(1-Inputs!$B$11)-P11*Inputs!$B$10*Inputs!$B$24-P11*Inputs!$B$10*$C11-Inputs!$B$12</f>
        <v>-375</v>
      </c>
      <c r="AC11" s="47">
        <f>Q11*Inputs!$B$10*Inputs!$B$7*(1-Inputs!$B$11)-Q11*Inputs!$B$10*Inputs!$B$24-Q11*Inputs!$B$10*$C11-Inputs!$B$12</f>
        <v>-375</v>
      </c>
      <c r="AD11" s="47">
        <f>R11*Inputs!$B$10*Inputs!$B$7*(1-Inputs!$B$11)-R11*Inputs!$B$10*Inputs!$B$24-R11*Inputs!$B$10*$C11-Inputs!$B$12</f>
        <v>-375</v>
      </c>
      <c r="AE11" s="47">
        <f>S11*Inputs!$B$10*Inputs!$B$7*(1-Inputs!$B$11)-S11*Inputs!$B$10*Inputs!$B$24-S11*Inputs!$B$10*$C11-Inputs!$B$12</f>
        <v>-375</v>
      </c>
      <c r="AF11" s="47">
        <f>T11*Inputs!$B$10*Inputs!$B$7*(1-Inputs!$B$11)-T11*Inputs!$B$10*Inputs!$B$24-T11*Inputs!$B$10*$C11-Inputs!$B$12</f>
        <v>-375</v>
      </c>
      <c r="AG11" s="47">
        <f>U11*Inputs!$B$10*Inputs!$B$7*(1-Inputs!$B$11)-U11*Inputs!$B$10*Inputs!$B$24-U11*Inputs!$B$10*$C11-Inputs!$B$12</f>
        <v>-375</v>
      </c>
      <c r="AH11" s="47">
        <f>V11*Inputs!$B$10*Inputs!$B$7*(1-Inputs!$B$11)-V11*Inputs!$B$10*Inputs!$B$24-V11*Inputs!$B$10*$C11-Inputs!$B$12</f>
        <v>-375</v>
      </c>
      <c r="AI11" s="47">
        <f>W11*Inputs!$B$10*Inputs!$B$7*(1-Inputs!$B$11)-W11*Inputs!$B$10*Inputs!$B$24-W11*Inputs!$B$10*$C11-Inputs!$B$12</f>
        <v>-375</v>
      </c>
      <c r="AJ11" s="47">
        <f>X11*Inputs!$B$10*Inputs!$B$7*(1-Inputs!$B$11)-X11*Inputs!$B$10*Inputs!$B$24-X11*Inputs!$B$10*$C11-Inputs!$B$12</f>
        <v>-375</v>
      </c>
      <c r="AK11" s="47">
        <f>Y11*Inputs!$B$10*Inputs!$B$7*(1-Inputs!$B$11)-Y11*Inputs!$B$10*Inputs!$B$24-Y11*Inputs!$B$10*$C11-Inputs!$B$12</f>
        <v>-375</v>
      </c>
      <c r="AL11" s="47">
        <f>Z11*Inputs!$B$10*Inputs!$B$7*(1-Inputs!$B$11)-Z11*Inputs!$B$10*Inputs!$B$24-Z11*Inputs!$B$10*$C11-Inputs!$B$12</f>
        <v>-375</v>
      </c>
      <c r="AM11" s="47">
        <f>AA11*Inputs!$B$10*Inputs!$B$7*(1-Inputs!$B$11)-AA11*Inputs!$B$10*Inputs!$B$24-AA11*Inputs!$B$10*$C11-Inputs!$B$12</f>
        <v>-375</v>
      </c>
      <c r="AN11" s="47">
        <f t="shared" si="9"/>
        <v>0</v>
      </c>
      <c r="AO11" s="47">
        <f t="shared" si="10"/>
        <v>0</v>
      </c>
      <c r="AP11" s="47">
        <f t="shared" si="11"/>
        <v>0</v>
      </c>
      <c r="AQ11" s="47">
        <f t="shared" si="12"/>
        <v>0</v>
      </c>
      <c r="AR11" s="47">
        <f t="shared" si="13"/>
        <v>0</v>
      </c>
      <c r="AS11" s="47">
        <f t="shared" si="14"/>
        <v>0</v>
      </c>
      <c r="AT11" s="47">
        <f t="shared" si="15"/>
        <v>0</v>
      </c>
      <c r="AU11" s="47">
        <f t="shared" si="16"/>
        <v>0</v>
      </c>
      <c r="AV11" s="47">
        <f t="shared" si="17"/>
        <v>0</v>
      </c>
      <c r="AW11" s="47">
        <f t="shared" si="18"/>
        <v>0</v>
      </c>
      <c r="AX11" s="47">
        <f t="shared" si="19"/>
        <v>0</v>
      </c>
      <c r="AY11" s="47">
        <f t="shared" si="20"/>
        <v>0</v>
      </c>
      <c r="AZ11" s="47">
        <f t="shared" si="21"/>
        <v>0</v>
      </c>
      <c r="BA11" s="47">
        <f t="shared" si="22"/>
        <v>0</v>
      </c>
      <c r="BB11" s="47">
        <f t="shared" si="23"/>
        <v>0</v>
      </c>
      <c r="BC11" s="47">
        <f t="shared" si="24"/>
        <v>0</v>
      </c>
      <c r="BD11" s="47">
        <f t="shared" si="25"/>
        <v>0</v>
      </c>
      <c r="BE11" s="47">
        <f t="shared" si="26"/>
        <v>0</v>
      </c>
      <c r="BF11" s="47">
        <f t="shared" si="27"/>
        <v>0</v>
      </c>
      <c r="BG11" s="47">
        <f t="shared" si="28"/>
        <v>0</v>
      </c>
      <c r="BH11" s="47">
        <f t="shared" si="29"/>
        <v>0</v>
      </c>
      <c r="BI11" s="47">
        <f t="shared" si="30"/>
        <v>0</v>
      </c>
      <c r="BJ11" s="47">
        <f t="shared" si="31"/>
        <v>0</v>
      </c>
      <c r="BK11" s="56">
        <f t="shared" si="32"/>
        <v>0</v>
      </c>
    </row>
    <row r="12" spans="1:63">
      <c r="A12" s="60" t="s">
        <v>258</v>
      </c>
      <c r="B12" s="61" t="s">
        <v>18</v>
      </c>
      <c r="C12" s="33">
        <f>INDEX(Inputs!$C$29:$C$31,MATCH(B12,Inputs!$A$29:$A$31,0))</f>
        <v>66</v>
      </c>
      <c r="D12" s="13">
        <v>0.3</v>
      </c>
      <c r="E12" s="96">
        <f t="shared" si="0"/>
        <v>75</v>
      </c>
      <c r="F12" s="97">
        <f t="shared" si="1"/>
        <v>93</v>
      </c>
      <c r="G12" s="97">
        <f t="shared" si="2"/>
        <v>121</v>
      </c>
      <c r="H12" s="47">
        <f t="shared" si="3"/>
        <v>3025</v>
      </c>
      <c r="I12" s="47">
        <f t="shared" si="4"/>
        <v>28825</v>
      </c>
      <c r="J12" s="47">
        <f t="shared" si="5"/>
        <v>20177.5</v>
      </c>
      <c r="K12" s="47">
        <f t="shared" si="6"/>
        <v>8647.5</v>
      </c>
      <c r="L12" s="47">
        <f t="shared" si="7"/>
        <v>7986</v>
      </c>
      <c r="M12" s="53">
        <f>Inputs!$B$7/$C12</f>
        <v>4.5454545454545459</v>
      </c>
      <c r="N12" s="50">
        <f>$C12/Inputs!$B$7</f>
        <v>0.22</v>
      </c>
      <c r="O12" s="41" t="str">
        <f t="shared" si="8"/>
        <v>OK</v>
      </c>
      <c r="P12" s="96">
        <f>Inputs!$B$8</f>
        <v>75</v>
      </c>
      <c r="Q12" s="97">
        <f>MIN(FLOOR(P12*(1+Inputs!$B$13),1),P12+FLOOR(MAX(0,AZ12)/Inputs!$B$16,1))</f>
        <v>78</v>
      </c>
      <c r="R12" s="97">
        <f>MIN(FLOOR(Q12*(1+Inputs!$B$13),1),Q12+FLOOR(MAX(0,BA12)/Inputs!$B$16,1))</f>
        <v>81</v>
      </c>
      <c r="S12" s="97">
        <f>MIN(FLOOR(R12*(1+Inputs!$B$13),1),R12+FLOOR(MAX(0,BB12)/Inputs!$B$16,1))</f>
        <v>85</v>
      </c>
      <c r="T12" s="97">
        <f>MIN(FLOOR(S12*(1+Inputs!$B$13),1),S12+FLOOR(MAX(0,BC12)/Inputs!$B$16,1))</f>
        <v>89</v>
      </c>
      <c r="U12" s="97">
        <f>MIN(FLOOR(T12*(1+Inputs!$B$13),1),T12+FLOOR(MAX(0,BD12)/Inputs!$B$16,1))</f>
        <v>93</v>
      </c>
      <c r="V12" s="97">
        <f>MIN(FLOOR(U12*(1+Inputs!$B$13),1),U12+FLOOR(MAX(0,BE12)/Inputs!$B$16,1))</f>
        <v>97</v>
      </c>
      <c r="W12" s="97">
        <f>MIN(FLOOR(V12*(1+Inputs!$B$13),1),V12+FLOOR(MAX(0,BF12)/Inputs!$B$16,1))</f>
        <v>101</v>
      </c>
      <c r="X12" s="97">
        <f>MIN(FLOOR(W12*(1+Inputs!$B$13),1),W12+FLOOR(MAX(0,BG12)/Inputs!$B$16,1))</f>
        <v>106</v>
      </c>
      <c r="Y12" s="97">
        <f>MIN(FLOOR(X12*(1+Inputs!$B$13),1),X12+FLOOR(MAX(0,BH12)/Inputs!$B$16,1))</f>
        <v>111</v>
      </c>
      <c r="Z12" s="97">
        <f>MIN(FLOOR(Y12*(1+Inputs!$B$13),1),Y12+FLOOR(MAX(0,BI12)/Inputs!$B$16,1))</f>
        <v>116</v>
      </c>
      <c r="AA12" s="97">
        <f>MIN(FLOOR(Z12*(1+Inputs!$B$13),1),Z12+FLOOR(MAX(0,BJ12)/Inputs!$B$16,1))</f>
        <v>121</v>
      </c>
      <c r="AB12" s="47">
        <f>P12*Inputs!$B$10*Inputs!$B$7*(1-Inputs!$B$11)-P12*Inputs!$B$10*Inputs!$B$24-P12*Inputs!$B$10*$C12-Inputs!$B$12</f>
        <v>1875</v>
      </c>
      <c r="AC12" s="47">
        <f>Q12*Inputs!$B$10*Inputs!$B$7*(1-Inputs!$B$11)-Q12*Inputs!$B$10*Inputs!$B$24-Q12*Inputs!$B$10*$C12-Inputs!$B$12</f>
        <v>1950</v>
      </c>
      <c r="AD12" s="47">
        <f>R12*Inputs!$B$10*Inputs!$B$7*(1-Inputs!$B$11)-R12*Inputs!$B$10*Inputs!$B$24-R12*Inputs!$B$10*$C12-Inputs!$B$12</f>
        <v>2025</v>
      </c>
      <c r="AE12" s="47">
        <f>S12*Inputs!$B$10*Inputs!$B$7*(1-Inputs!$B$11)-S12*Inputs!$B$10*Inputs!$B$24-S12*Inputs!$B$10*$C12-Inputs!$B$12</f>
        <v>2125</v>
      </c>
      <c r="AF12" s="47">
        <f>T12*Inputs!$B$10*Inputs!$B$7*(1-Inputs!$B$11)-T12*Inputs!$B$10*Inputs!$B$24-T12*Inputs!$B$10*$C12-Inputs!$B$12</f>
        <v>2225</v>
      </c>
      <c r="AG12" s="47">
        <f>U12*Inputs!$B$10*Inputs!$B$7*(1-Inputs!$B$11)-U12*Inputs!$B$10*Inputs!$B$24-U12*Inputs!$B$10*$C12-Inputs!$B$12</f>
        <v>2325</v>
      </c>
      <c r="AH12" s="47">
        <f>V12*Inputs!$B$10*Inputs!$B$7*(1-Inputs!$B$11)-V12*Inputs!$B$10*Inputs!$B$24-V12*Inputs!$B$10*$C12-Inputs!$B$12</f>
        <v>2425</v>
      </c>
      <c r="AI12" s="47">
        <f>W12*Inputs!$B$10*Inputs!$B$7*(1-Inputs!$B$11)-W12*Inputs!$B$10*Inputs!$B$24-W12*Inputs!$B$10*$C12-Inputs!$B$12</f>
        <v>2525</v>
      </c>
      <c r="AJ12" s="47">
        <f>X12*Inputs!$B$10*Inputs!$B$7*(1-Inputs!$B$11)-X12*Inputs!$B$10*Inputs!$B$24-X12*Inputs!$B$10*$C12-Inputs!$B$12</f>
        <v>2650</v>
      </c>
      <c r="AK12" s="47">
        <f>Y12*Inputs!$B$10*Inputs!$B$7*(1-Inputs!$B$11)-Y12*Inputs!$B$10*Inputs!$B$24-Y12*Inputs!$B$10*$C12-Inputs!$B$12</f>
        <v>2775</v>
      </c>
      <c r="AL12" s="47">
        <f>Z12*Inputs!$B$10*Inputs!$B$7*(1-Inputs!$B$11)-Z12*Inputs!$B$10*Inputs!$B$24-Z12*Inputs!$B$10*$C12-Inputs!$B$12</f>
        <v>2900</v>
      </c>
      <c r="AM12" s="47">
        <f>AA12*Inputs!$B$10*Inputs!$B$7*(1-Inputs!$B$11)-AA12*Inputs!$B$10*Inputs!$B$24-AA12*Inputs!$B$10*$C12-Inputs!$B$12</f>
        <v>3025</v>
      </c>
      <c r="AN12" s="47">
        <f t="shared" si="9"/>
        <v>1312.5</v>
      </c>
      <c r="AO12" s="47">
        <f t="shared" si="10"/>
        <v>1365</v>
      </c>
      <c r="AP12" s="47">
        <f t="shared" si="11"/>
        <v>1417.5</v>
      </c>
      <c r="AQ12" s="47">
        <f t="shared" si="12"/>
        <v>1487.5</v>
      </c>
      <c r="AR12" s="47">
        <f t="shared" si="13"/>
        <v>1557.5</v>
      </c>
      <c r="AS12" s="47">
        <f t="shared" si="14"/>
        <v>1627.5</v>
      </c>
      <c r="AT12" s="47">
        <f t="shared" si="15"/>
        <v>1697.5</v>
      </c>
      <c r="AU12" s="47">
        <f t="shared" si="16"/>
        <v>1767.5</v>
      </c>
      <c r="AV12" s="47">
        <f t="shared" si="17"/>
        <v>1854.9999999999998</v>
      </c>
      <c r="AW12" s="47">
        <f t="shared" si="18"/>
        <v>1942.4999999999998</v>
      </c>
      <c r="AX12" s="47">
        <f t="shared" si="19"/>
        <v>2029.9999999999998</v>
      </c>
      <c r="AY12" s="47">
        <f t="shared" si="20"/>
        <v>2117.5</v>
      </c>
      <c r="AZ12" s="47">
        <f t="shared" si="21"/>
        <v>562.5</v>
      </c>
      <c r="BA12" s="47">
        <f t="shared" si="22"/>
        <v>585</v>
      </c>
      <c r="BB12" s="47">
        <f t="shared" si="23"/>
        <v>607.5</v>
      </c>
      <c r="BC12" s="47">
        <f t="shared" si="24"/>
        <v>637.5</v>
      </c>
      <c r="BD12" s="47">
        <f t="shared" si="25"/>
        <v>667.5</v>
      </c>
      <c r="BE12" s="47">
        <f t="shared" si="26"/>
        <v>697.5</v>
      </c>
      <c r="BF12" s="47">
        <f t="shared" si="27"/>
        <v>727.5</v>
      </c>
      <c r="BG12" s="47">
        <f t="shared" si="28"/>
        <v>757.5</v>
      </c>
      <c r="BH12" s="47">
        <f t="shared" si="29"/>
        <v>795</v>
      </c>
      <c r="BI12" s="47">
        <f t="shared" si="30"/>
        <v>832.5</v>
      </c>
      <c r="BJ12" s="47">
        <f t="shared" si="31"/>
        <v>870</v>
      </c>
      <c r="BK12" s="56">
        <f t="shared" si="32"/>
        <v>907.5</v>
      </c>
    </row>
    <row r="13" spans="1:63">
      <c r="A13" s="60" t="s">
        <v>259</v>
      </c>
      <c r="B13" s="61" t="s">
        <v>18</v>
      </c>
      <c r="C13" s="33">
        <f>INDEX(Inputs!$C$29:$C$31,MATCH(B13,Inputs!$A$29:$A$31,0))</f>
        <v>66</v>
      </c>
      <c r="D13" s="13">
        <v>0.5</v>
      </c>
      <c r="E13" s="96">
        <f t="shared" si="0"/>
        <v>75</v>
      </c>
      <c r="F13" s="97">
        <f t="shared" si="1"/>
        <v>109</v>
      </c>
      <c r="G13" s="97">
        <f t="shared" si="2"/>
        <v>173</v>
      </c>
      <c r="H13" s="47">
        <f t="shared" si="3"/>
        <v>4325</v>
      </c>
      <c r="I13" s="47">
        <f t="shared" si="4"/>
        <v>35250</v>
      </c>
      <c r="J13" s="47">
        <f t="shared" si="5"/>
        <v>17625</v>
      </c>
      <c r="K13" s="47">
        <f t="shared" si="6"/>
        <v>17625</v>
      </c>
      <c r="L13" s="47">
        <f t="shared" si="7"/>
        <v>11418</v>
      </c>
      <c r="M13" s="53">
        <f>Inputs!$B$7/$C13</f>
        <v>4.5454545454545459</v>
      </c>
      <c r="N13" s="50">
        <f>$C13/Inputs!$B$7</f>
        <v>0.22</v>
      </c>
      <c r="O13" s="41" t="str">
        <f t="shared" si="8"/>
        <v>OK</v>
      </c>
      <c r="P13" s="96">
        <f>Inputs!$B$8</f>
        <v>75</v>
      </c>
      <c r="Q13" s="97">
        <f>MIN(FLOOR(P13*(1+Inputs!$B$13),1),P13+FLOOR(MAX(0,AZ13)/Inputs!$B$16,1))</f>
        <v>81</v>
      </c>
      <c r="R13" s="97">
        <f>MIN(FLOOR(Q13*(1+Inputs!$B$13),1),Q13+FLOOR(MAX(0,BA13)/Inputs!$B$16,1))</f>
        <v>87</v>
      </c>
      <c r="S13" s="97">
        <f>MIN(FLOOR(R13*(1+Inputs!$B$13),1),R13+FLOOR(MAX(0,BB13)/Inputs!$B$16,1))</f>
        <v>94</v>
      </c>
      <c r="T13" s="97">
        <f>MIN(FLOOR(S13*(1+Inputs!$B$13),1),S13+FLOOR(MAX(0,BC13)/Inputs!$B$16,1))</f>
        <v>101</v>
      </c>
      <c r="U13" s="97">
        <f>MIN(FLOOR(T13*(1+Inputs!$B$13),1),T13+FLOOR(MAX(0,BD13)/Inputs!$B$16,1))</f>
        <v>109</v>
      </c>
      <c r="V13" s="97">
        <f>MIN(FLOOR(U13*(1+Inputs!$B$13),1),U13+FLOOR(MAX(0,BE13)/Inputs!$B$16,1))</f>
        <v>118</v>
      </c>
      <c r="W13" s="97">
        <f>MIN(FLOOR(V13*(1+Inputs!$B$13),1),V13+FLOOR(MAX(0,BF13)/Inputs!$B$16,1))</f>
        <v>127</v>
      </c>
      <c r="X13" s="97">
        <f>MIN(FLOOR(W13*(1+Inputs!$B$13),1),W13+FLOOR(MAX(0,BG13)/Inputs!$B$16,1))</f>
        <v>137</v>
      </c>
      <c r="Y13" s="97">
        <f>MIN(FLOOR(X13*(1+Inputs!$B$13),1),X13+FLOOR(MAX(0,BH13)/Inputs!$B$16,1))</f>
        <v>148</v>
      </c>
      <c r="Z13" s="97">
        <f>MIN(FLOOR(Y13*(1+Inputs!$B$13),1),Y13+FLOOR(MAX(0,BI13)/Inputs!$B$16,1))</f>
        <v>160</v>
      </c>
      <c r="AA13" s="97">
        <f>MIN(FLOOR(Z13*(1+Inputs!$B$13),1),Z13+FLOOR(MAX(0,BJ13)/Inputs!$B$16,1))</f>
        <v>173</v>
      </c>
      <c r="AB13" s="47">
        <f>P13*Inputs!$B$10*Inputs!$B$7*(1-Inputs!$B$11)-P13*Inputs!$B$10*Inputs!$B$24-P13*Inputs!$B$10*$C13-Inputs!$B$12</f>
        <v>1875</v>
      </c>
      <c r="AC13" s="47">
        <f>Q13*Inputs!$B$10*Inputs!$B$7*(1-Inputs!$B$11)-Q13*Inputs!$B$10*Inputs!$B$24-Q13*Inputs!$B$10*$C13-Inputs!$B$12</f>
        <v>2025</v>
      </c>
      <c r="AD13" s="47">
        <f>R13*Inputs!$B$10*Inputs!$B$7*(1-Inputs!$B$11)-R13*Inputs!$B$10*Inputs!$B$24-R13*Inputs!$B$10*$C13-Inputs!$B$12</f>
        <v>2175</v>
      </c>
      <c r="AE13" s="47">
        <f>S13*Inputs!$B$10*Inputs!$B$7*(1-Inputs!$B$11)-S13*Inputs!$B$10*Inputs!$B$24-S13*Inputs!$B$10*$C13-Inputs!$B$12</f>
        <v>2350</v>
      </c>
      <c r="AF13" s="47">
        <f>T13*Inputs!$B$10*Inputs!$B$7*(1-Inputs!$B$11)-T13*Inputs!$B$10*Inputs!$B$24-T13*Inputs!$B$10*$C13-Inputs!$B$12</f>
        <v>2525</v>
      </c>
      <c r="AG13" s="47">
        <f>U13*Inputs!$B$10*Inputs!$B$7*(1-Inputs!$B$11)-U13*Inputs!$B$10*Inputs!$B$24-U13*Inputs!$B$10*$C13-Inputs!$B$12</f>
        <v>2725</v>
      </c>
      <c r="AH13" s="47">
        <f>V13*Inputs!$B$10*Inputs!$B$7*(1-Inputs!$B$11)-V13*Inputs!$B$10*Inputs!$B$24-V13*Inputs!$B$10*$C13-Inputs!$B$12</f>
        <v>2950</v>
      </c>
      <c r="AI13" s="47">
        <f>W13*Inputs!$B$10*Inputs!$B$7*(1-Inputs!$B$11)-W13*Inputs!$B$10*Inputs!$B$24-W13*Inputs!$B$10*$C13-Inputs!$B$12</f>
        <v>3175</v>
      </c>
      <c r="AJ13" s="47">
        <f>X13*Inputs!$B$10*Inputs!$B$7*(1-Inputs!$B$11)-X13*Inputs!$B$10*Inputs!$B$24-X13*Inputs!$B$10*$C13-Inputs!$B$12</f>
        <v>3425</v>
      </c>
      <c r="AK13" s="47">
        <f>Y13*Inputs!$B$10*Inputs!$B$7*(1-Inputs!$B$11)-Y13*Inputs!$B$10*Inputs!$B$24-Y13*Inputs!$B$10*$C13-Inputs!$B$12</f>
        <v>3700</v>
      </c>
      <c r="AL13" s="47">
        <f>Z13*Inputs!$B$10*Inputs!$B$7*(1-Inputs!$B$11)-Z13*Inputs!$B$10*Inputs!$B$24-Z13*Inputs!$B$10*$C13-Inputs!$B$12</f>
        <v>4000</v>
      </c>
      <c r="AM13" s="47">
        <f>AA13*Inputs!$B$10*Inputs!$B$7*(1-Inputs!$B$11)-AA13*Inputs!$B$10*Inputs!$B$24-AA13*Inputs!$B$10*$C13-Inputs!$B$12</f>
        <v>4325</v>
      </c>
      <c r="AN13" s="47">
        <f t="shared" si="9"/>
        <v>937.5</v>
      </c>
      <c r="AO13" s="47">
        <f t="shared" si="10"/>
        <v>1012.5</v>
      </c>
      <c r="AP13" s="47">
        <f t="shared" si="11"/>
        <v>1087.5</v>
      </c>
      <c r="AQ13" s="47">
        <f t="shared" si="12"/>
        <v>1175</v>
      </c>
      <c r="AR13" s="47">
        <f t="shared" si="13"/>
        <v>1262.5</v>
      </c>
      <c r="AS13" s="47">
        <f t="shared" si="14"/>
        <v>1362.5</v>
      </c>
      <c r="AT13" s="47">
        <f t="shared" si="15"/>
        <v>1475</v>
      </c>
      <c r="AU13" s="47">
        <f t="shared" si="16"/>
        <v>1587.5</v>
      </c>
      <c r="AV13" s="47">
        <f t="shared" si="17"/>
        <v>1712.5</v>
      </c>
      <c r="AW13" s="47">
        <f t="shared" si="18"/>
        <v>1850</v>
      </c>
      <c r="AX13" s="47">
        <f t="shared" si="19"/>
        <v>2000</v>
      </c>
      <c r="AY13" s="47">
        <f t="shared" si="20"/>
        <v>2162.5</v>
      </c>
      <c r="AZ13" s="47">
        <f t="shared" si="21"/>
        <v>937.5</v>
      </c>
      <c r="BA13" s="47">
        <f t="shared" si="22"/>
        <v>1012.5</v>
      </c>
      <c r="BB13" s="47">
        <f t="shared" si="23"/>
        <v>1087.5</v>
      </c>
      <c r="BC13" s="47">
        <f t="shared" si="24"/>
        <v>1175</v>
      </c>
      <c r="BD13" s="47">
        <f t="shared" si="25"/>
        <v>1262.5</v>
      </c>
      <c r="BE13" s="47">
        <f t="shared" si="26"/>
        <v>1362.5</v>
      </c>
      <c r="BF13" s="47">
        <f t="shared" si="27"/>
        <v>1475</v>
      </c>
      <c r="BG13" s="47">
        <f t="shared" si="28"/>
        <v>1587.5</v>
      </c>
      <c r="BH13" s="47">
        <f t="shared" si="29"/>
        <v>1712.5</v>
      </c>
      <c r="BI13" s="47">
        <f t="shared" si="30"/>
        <v>1850</v>
      </c>
      <c r="BJ13" s="47">
        <f t="shared" si="31"/>
        <v>2000</v>
      </c>
      <c r="BK13" s="56">
        <f t="shared" si="32"/>
        <v>2162.5</v>
      </c>
    </row>
    <row r="14" spans="1:63">
      <c r="A14" s="62" t="s">
        <v>38</v>
      </c>
      <c r="B14" s="63" t="s">
        <v>18</v>
      </c>
      <c r="C14" s="18">
        <f>INDEX(Inputs!$C$29:$C$31,MATCH(B14,Inputs!$A$29:$A$31,0))</f>
        <v>66</v>
      </c>
      <c r="D14" s="14">
        <v>0.7</v>
      </c>
      <c r="E14" s="108">
        <f t="shared" si="0"/>
        <v>75</v>
      </c>
      <c r="F14" s="109">
        <f t="shared" si="1"/>
        <v>126</v>
      </c>
      <c r="G14" s="109">
        <f t="shared" si="2"/>
        <v>241</v>
      </c>
      <c r="H14" s="48">
        <f t="shared" si="3"/>
        <v>6025</v>
      </c>
      <c r="I14" s="48">
        <f t="shared" si="4"/>
        <v>42800</v>
      </c>
      <c r="J14" s="48">
        <f t="shared" si="5"/>
        <v>12840.000000000002</v>
      </c>
      <c r="K14" s="48">
        <f t="shared" si="6"/>
        <v>29960</v>
      </c>
      <c r="L14" s="48">
        <f t="shared" si="7"/>
        <v>15906</v>
      </c>
      <c r="M14" s="54">
        <f>Inputs!$B$7/$C14</f>
        <v>4.5454545454545459</v>
      </c>
      <c r="N14" s="51">
        <f>$C14/Inputs!$B$7</f>
        <v>0.22</v>
      </c>
      <c r="O14" s="42" t="str">
        <f t="shared" si="8"/>
        <v>OK</v>
      </c>
      <c r="P14" s="108">
        <f>Inputs!$B$8</f>
        <v>75</v>
      </c>
      <c r="Q14" s="109">
        <f>MIN(FLOOR(P14*(1+Inputs!$B$13),1),P14+FLOOR(MAX(0,AZ14)/Inputs!$B$16,1))</f>
        <v>83</v>
      </c>
      <c r="R14" s="109">
        <f>MIN(FLOOR(Q14*(1+Inputs!$B$13),1),Q14+FLOOR(MAX(0,BA14)/Inputs!$B$16,1))</f>
        <v>92</v>
      </c>
      <c r="S14" s="109">
        <f>MIN(FLOOR(R14*(1+Inputs!$B$13),1),R14+FLOOR(MAX(0,BB14)/Inputs!$B$16,1))</f>
        <v>102</v>
      </c>
      <c r="T14" s="109">
        <f>MIN(FLOOR(S14*(1+Inputs!$B$13),1),S14+FLOOR(MAX(0,BC14)/Inputs!$B$16,1))</f>
        <v>113</v>
      </c>
      <c r="U14" s="109">
        <f>MIN(FLOOR(T14*(1+Inputs!$B$13),1),T14+FLOOR(MAX(0,BD14)/Inputs!$B$16,1))</f>
        <v>126</v>
      </c>
      <c r="V14" s="109">
        <f>MIN(FLOOR(U14*(1+Inputs!$B$13),1),U14+FLOOR(MAX(0,BE14)/Inputs!$B$16,1))</f>
        <v>140</v>
      </c>
      <c r="W14" s="109">
        <f>MIN(FLOOR(V14*(1+Inputs!$B$13),1),V14+FLOOR(MAX(0,BF14)/Inputs!$B$16,1))</f>
        <v>156</v>
      </c>
      <c r="X14" s="109">
        <f>MIN(FLOOR(W14*(1+Inputs!$B$13),1),W14+FLOOR(MAX(0,BG14)/Inputs!$B$16,1))</f>
        <v>174</v>
      </c>
      <c r="Y14" s="109">
        <f>MIN(FLOOR(X14*(1+Inputs!$B$13),1),X14+FLOOR(MAX(0,BH14)/Inputs!$B$16,1))</f>
        <v>194</v>
      </c>
      <c r="Z14" s="109">
        <f>MIN(FLOOR(Y14*(1+Inputs!$B$13),1),Y14+FLOOR(MAX(0,BI14)/Inputs!$B$16,1))</f>
        <v>216</v>
      </c>
      <c r="AA14" s="109">
        <f>MIN(FLOOR(Z14*(1+Inputs!$B$13),1),Z14+FLOOR(MAX(0,BJ14)/Inputs!$B$16,1))</f>
        <v>241</v>
      </c>
      <c r="AB14" s="48">
        <f>P14*Inputs!$B$10*Inputs!$B$7*(1-Inputs!$B$11)-P14*Inputs!$B$10*Inputs!$B$24-P14*Inputs!$B$10*$C14-Inputs!$B$12</f>
        <v>1875</v>
      </c>
      <c r="AC14" s="48">
        <f>Q14*Inputs!$B$10*Inputs!$B$7*(1-Inputs!$B$11)-Q14*Inputs!$B$10*Inputs!$B$24-Q14*Inputs!$B$10*$C14-Inputs!$B$12</f>
        <v>2075</v>
      </c>
      <c r="AD14" s="48">
        <f>R14*Inputs!$B$10*Inputs!$B$7*(1-Inputs!$B$11)-R14*Inputs!$B$10*Inputs!$B$24-R14*Inputs!$B$10*$C14-Inputs!$B$12</f>
        <v>2300</v>
      </c>
      <c r="AE14" s="48">
        <f>S14*Inputs!$B$10*Inputs!$B$7*(1-Inputs!$B$11)-S14*Inputs!$B$10*Inputs!$B$24-S14*Inputs!$B$10*$C14-Inputs!$B$12</f>
        <v>2550</v>
      </c>
      <c r="AF14" s="48">
        <f>T14*Inputs!$B$10*Inputs!$B$7*(1-Inputs!$B$11)-T14*Inputs!$B$10*Inputs!$B$24-T14*Inputs!$B$10*$C14-Inputs!$B$12</f>
        <v>2825</v>
      </c>
      <c r="AG14" s="48">
        <f>U14*Inputs!$B$10*Inputs!$B$7*(1-Inputs!$B$11)-U14*Inputs!$B$10*Inputs!$B$24-U14*Inputs!$B$10*$C14-Inputs!$B$12</f>
        <v>3150</v>
      </c>
      <c r="AH14" s="48">
        <f>V14*Inputs!$B$10*Inputs!$B$7*(1-Inputs!$B$11)-V14*Inputs!$B$10*Inputs!$B$24-V14*Inputs!$B$10*$C14-Inputs!$B$12</f>
        <v>3500</v>
      </c>
      <c r="AI14" s="48">
        <f>W14*Inputs!$B$10*Inputs!$B$7*(1-Inputs!$B$11)-W14*Inputs!$B$10*Inputs!$B$24-W14*Inputs!$B$10*$C14-Inputs!$B$12</f>
        <v>3900</v>
      </c>
      <c r="AJ14" s="48">
        <f>X14*Inputs!$B$10*Inputs!$B$7*(1-Inputs!$B$11)-X14*Inputs!$B$10*Inputs!$B$24-X14*Inputs!$B$10*$C14-Inputs!$B$12</f>
        <v>4350</v>
      </c>
      <c r="AK14" s="48">
        <f>Y14*Inputs!$B$10*Inputs!$B$7*(1-Inputs!$B$11)-Y14*Inputs!$B$10*Inputs!$B$24-Y14*Inputs!$B$10*$C14-Inputs!$B$12</f>
        <v>4850</v>
      </c>
      <c r="AL14" s="48">
        <f>Z14*Inputs!$B$10*Inputs!$B$7*(1-Inputs!$B$11)-Z14*Inputs!$B$10*Inputs!$B$24-Z14*Inputs!$B$10*$C14-Inputs!$B$12</f>
        <v>5400</v>
      </c>
      <c r="AM14" s="48">
        <f>AA14*Inputs!$B$10*Inputs!$B$7*(1-Inputs!$B$11)-AA14*Inputs!$B$10*Inputs!$B$24-AA14*Inputs!$B$10*$C14-Inputs!$B$12</f>
        <v>6025</v>
      </c>
      <c r="AN14" s="48">
        <f t="shared" si="9"/>
        <v>562.50000000000011</v>
      </c>
      <c r="AO14" s="48">
        <f t="shared" si="10"/>
        <v>622.50000000000011</v>
      </c>
      <c r="AP14" s="48">
        <f t="shared" si="11"/>
        <v>690.00000000000011</v>
      </c>
      <c r="AQ14" s="48">
        <f t="shared" si="12"/>
        <v>765.00000000000011</v>
      </c>
      <c r="AR14" s="48">
        <f t="shared" si="13"/>
        <v>847.50000000000011</v>
      </c>
      <c r="AS14" s="48">
        <f t="shared" si="14"/>
        <v>945.00000000000011</v>
      </c>
      <c r="AT14" s="48">
        <f t="shared" si="15"/>
        <v>1050.0000000000002</v>
      </c>
      <c r="AU14" s="48">
        <f t="shared" si="16"/>
        <v>1170.0000000000002</v>
      </c>
      <c r="AV14" s="48">
        <f t="shared" si="17"/>
        <v>1305.0000000000002</v>
      </c>
      <c r="AW14" s="48">
        <f t="shared" si="18"/>
        <v>1455.0000000000002</v>
      </c>
      <c r="AX14" s="48">
        <f t="shared" si="19"/>
        <v>1620.0000000000002</v>
      </c>
      <c r="AY14" s="48">
        <f t="shared" si="20"/>
        <v>1807.5000000000002</v>
      </c>
      <c r="AZ14" s="48">
        <f t="shared" si="21"/>
        <v>1312.5</v>
      </c>
      <c r="BA14" s="48">
        <f t="shared" si="22"/>
        <v>1452.5</v>
      </c>
      <c r="BB14" s="48">
        <f t="shared" si="23"/>
        <v>1610</v>
      </c>
      <c r="BC14" s="48">
        <f t="shared" si="24"/>
        <v>1785</v>
      </c>
      <c r="BD14" s="48">
        <f t="shared" si="25"/>
        <v>1977.4999999999998</v>
      </c>
      <c r="BE14" s="48">
        <f t="shared" si="26"/>
        <v>2205</v>
      </c>
      <c r="BF14" s="48">
        <f t="shared" si="27"/>
        <v>2450</v>
      </c>
      <c r="BG14" s="48">
        <f t="shared" si="28"/>
        <v>2730</v>
      </c>
      <c r="BH14" s="48">
        <f t="shared" si="29"/>
        <v>3045</v>
      </c>
      <c r="BI14" s="48">
        <f t="shared" si="30"/>
        <v>3395</v>
      </c>
      <c r="BJ14" s="48">
        <f t="shared" si="31"/>
        <v>3779.9999999999995</v>
      </c>
      <c r="BK14" s="57">
        <f t="shared" si="32"/>
        <v>4217.5</v>
      </c>
    </row>
  </sheetData>
  <mergeCells count="2">
    <mergeCell ref="A1:O2"/>
    <mergeCell ref="A4:O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topLeftCell="A11" workbookViewId="0">
      <selection sqref="A1:H2"/>
    </sheetView>
  </sheetViews>
  <sheetFormatPr defaultRowHeight="13.8"/>
  <cols>
    <col min="1" max="1" width="30.59765625" customWidth="1"/>
    <col min="2" max="2" width="15" customWidth="1"/>
    <col min="3" max="3" width="13.09765625" customWidth="1"/>
    <col min="4" max="4" width="13.69921875" customWidth="1"/>
    <col min="5" max="5" width="11.19921875" customWidth="1"/>
    <col min="6" max="6" width="11.8984375" customWidth="1"/>
    <col min="7" max="7" width="35" customWidth="1"/>
    <col min="8" max="8" width="22.5" customWidth="1"/>
  </cols>
  <sheetData>
    <row r="1" spans="1:8" ht="43.5" customHeight="1">
      <c r="A1" s="154" t="s">
        <v>260</v>
      </c>
      <c r="B1" s="154" t="s">
        <v>260</v>
      </c>
      <c r="C1" s="154" t="s">
        <v>260</v>
      </c>
      <c r="D1" s="154" t="s">
        <v>260</v>
      </c>
      <c r="E1" s="154" t="s">
        <v>260</v>
      </c>
      <c r="F1" s="154" t="s">
        <v>260</v>
      </c>
      <c r="G1" s="154" t="s">
        <v>260</v>
      </c>
      <c r="H1" s="154" t="s">
        <v>260</v>
      </c>
    </row>
    <row r="2" spans="1:8" ht="43.5" customHeight="1">
      <c r="A2" s="154" t="s">
        <v>260</v>
      </c>
      <c r="B2" s="154" t="s">
        <v>260</v>
      </c>
      <c r="C2" s="154" t="s">
        <v>260</v>
      </c>
      <c r="D2" s="154" t="s">
        <v>260</v>
      </c>
      <c r="E2" s="154" t="s">
        <v>260</v>
      </c>
      <c r="F2" s="154" t="s">
        <v>260</v>
      </c>
      <c r="G2" s="154" t="s">
        <v>260</v>
      </c>
      <c r="H2" s="154" t="s">
        <v>260</v>
      </c>
    </row>
    <row r="3" spans="1:8">
      <c r="E3" s="77" t="s">
        <v>261</v>
      </c>
      <c r="F3" s="77" t="str">
        <f>IF(COUNTIF(F6:F13,"Review")=0,"OK","Review")</f>
        <v>Review</v>
      </c>
    </row>
    <row r="4" spans="1:8">
      <c r="A4" s="155" t="s">
        <v>262</v>
      </c>
      <c r="B4" s="155" t="s">
        <v>262</v>
      </c>
      <c r="C4" s="155" t="s">
        <v>262</v>
      </c>
      <c r="D4" s="155" t="s">
        <v>262</v>
      </c>
      <c r="E4" s="155" t="s">
        <v>262</v>
      </c>
      <c r="F4" s="155" t="s">
        <v>262</v>
      </c>
      <c r="G4" s="155" t="s">
        <v>262</v>
      </c>
      <c r="H4" s="155" t="s">
        <v>262</v>
      </c>
    </row>
    <row r="5" spans="1:8">
      <c r="A5" s="34" t="s">
        <v>263</v>
      </c>
      <c r="B5" s="35" t="s">
        <v>264</v>
      </c>
      <c r="C5" s="35" t="s">
        <v>265</v>
      </c>
      <c r="D5" s="35" t="s">
        <v>266</v>
      </c>
      <c r="E5" s="35" t="s">
        <v>267</v>
      </c>
      <c r="F5" s="35" t="s">
        <v>205</v>
      </c>
      <c r="G5" s="35" t="s">
        <v>268</v>
      </c>
      <c r="H5" s="36" t="s">
        <v>269</v>
      </c>
    </row>
    <row r="6" spans="1:8">
      <c r="A6" s="4" t="s">
        <v>270</v>
      </c>
      <c r="B6" s="69">
        <f>Inputs!B25</f>
        <v>100</v>
      </c>
      <c r="C6" s="46">
        <f>0</f>
        <v>0</v>
      </c>
      <c r="D6" s="46">
        <f t="shared" ref="D6:D12" si="0">B6-C6</f>
        <v>100</v>
      </c>
      <c r="E6" s="37">
        <f>0</f>
        <v>0</v>
      </c>
      <c r="F6" s="38" t="str">
        <f>IF(B6&gt;C6,"OK","Review")</f>
        <v>OK</v>
      </c>
      <c r="G6" s="19" t="s">
        <v>271</v>
      </c>
      <c r="H6" s="21" t="s">
        <v>272</v>
      </c>
    </row>
    <row r="7" spans="1:8">
      <c r="A7" s="5" t="s">
        <v>273</v>
      </c>
      <c r="B7" s="70">
        <f>Inputs!H29</f>
        <v>-26</v>
      </c>
      <c r="C7" s="47">
        <f>0</f>
        <v>0</v>
      </c>
      <c r="D7" s="47">
        <f t="shared" si="0"/>
        <v>-26</v>
      </c>
      <c r="E7" s="40">
        <f>0</f>
        <v>0</v>
      </c>
      <c r="F7" s="41" t="str">
        <f>IF(B7&gt;=C7,"OK","Review")</f>
        <v>Review</v>
      </c>
      <c r="G7" s="22" t="s">
        <v>274</v>
      </c>
      <c r="H7" s="24" t="s">
        <v>275</v>
      </c>
    </row>
    <row r="8" spans="1:8">
      <c r="A8" s="5" t="s">
        <v>276</v>
      </c>
      <c r="B8" s="70">
        <f>Inputs!H30</f>
        <v>4</v>
      </c>
      <c r="C8" s="47">
        <f>0</f>
        <v>0</v>
      </c>
      <c r="D8" s="47">
        <f t="shared" si="0"/>
        <v>4</v>
      </c>
      <c r="E8" s="40">
        <f>0</f>
        <v>0</v>
      </c>
      <c r="F8" s="41" t="str">
        <f>IF(B8&gt;=C8,"OK","Review")</f>
        <v>OK</v>
      </c>
      <c r="G8" s="22" t="s">
        <v>277</v>
      </c>
      <c r="H8" s="24" t="s">
        <v>278</v>
      </c>
    </row>
    <row r="9" spans="1:8">
      <c r="A9" s="5" t="s">
        <v>279</v>
      </c>
      <c r="B9" s="70">
        <f>Inputs!H31</f>
        <v>34</v>
      </c>
      <c r="C9" s="47">
        <f>0</f>
        <v>0</v>
      </c>
      <c r="D9" s="47">
        <f t="shared" si="0"/>
        <v>34</v>
      </c>
      <c r="E9" s="40">
        <f>0</f>
        <v>0</v>
      </c>
      <c r="F9" s="41" t="str">
        <f>IF(B9&gt;=C9,"OK","Review")</f>
        <v>OK</v>
      </c>
      <c r="G9" s="22" t="s">
        <v>280</v>
      </c>
      <c r="H9" s="24" t="s">
        <v>281</v>
      </c>
    </row>
    <row r="10" spans="1:8">
      <c r="A10" s="5" t="s">
        <v>282</v>
      </c>
      <c r="B10" s="96">
        <f>Inputs!B8</f>
        <v>75</v>
      </c>
      <c r="C10" s="97">
        <f>0</f>
        <v>0</v>
      </c>
      <c r="D10" s="97">
        <f t="shared" si="0"/>
        <v>75</v>
      </c>
      <c r="E10" s="40">
        <f>0</f>
        <v>0</v>
      </c>
      <c r="F10" s="41" t="str">
        <f>IF(B10&gt;C10,"OK","Review")</f>
        <v>OK</v>
      </c>
      <c r="G10" s="22" t="s">
        <v>283</v>
      </c>
      <c r="H10" s="24" t="s">
        <v>284</v>
      </c>
    </row>
    <row r="11" spans="1:8">
      <c r="A11" s="5" t="s">
        <v>285</v>
      </c>
      <c r="B11" s="44">
        <f>Inputs!B10</f>
        <v>1</v>
      </c>
      <c r="C11" s="50">
        <f>1</f>
        <v>1</v>
      </c>
      <c r="D11" s="50">
        <f t="shared" si="0"/>
        <v>0</v>
      </c>
      <c r="E11" s="40">
        <f>0</f>
        <v>0</v>
      </c>
      <c r="F11" s="41" t="str">
        <f>IF(AND(B11&gt;=0,B11&lt;=1),"OK","Review")</f>
        <v>OK</v>
      </c>
      <c r="G11" s="22" t="s">
        <v>286</v>
      </c>
      <c r="H11" s="24" t="s">
        <v>287</v>
      </c>
    </row>
    <row r="12" spans="1:8">
      <c r="A12" s="5" t="s">
        <v>288</v>
      </c>
      <c r="B12" s="44">
        <f>Inputs!B11</f>
        <v>0.03</v>
      </c>
      <c r="C12" s="50">
        <f>0.3</f>
        <v>0.3</v>
      </c>
      <c r="D12" s="50">
        <f t="shared" si="0"/>
        <v>-0.27</v>
      </c>
      <c r="E12" s="40">
        <f>0</f>
        <v>0</v>
      </c>
      <c r="F12" s="41" t="str">
        <f>IF(B12&lt;C12,"OK","Review")</f>
        <v>OK</v>
      </c>
      <c r="G12" s="22" t="s">
        <v>289</v>
      </c>
      <c r="H12" s="24" t="s">
        <v>290</v>
      </c>
    </row>
    <row r="13" spans="1:8">
      <c r="A13" s="6" t="s">
        <v>291</v>
      </c>
      <c r="B13" s="108">
        <f>0</f>
        <v>0</v>
      </c>
      <c r="C13" s="109">
        <f>0</f>
        <v>0</v>
      </c>
      <c r="D13" s="109">
        <f>0</f>
        <v>0</v>
      </c>
      <c r="E13" s="109">
        <f>0</f>
        <v>0</v>
      </c>
      <c r="F13" s="42" t="str">
        <f>"OK"</f>
        <v>OK</v>
      </c>
      <c r="G13" s="25" t="s">
        <v>292</v>
      </c>
      <c r="H13" s="27" t="s">
        <v>293</v>
      </c>
    </row>
  </sheetData>
  <mergeCells count="2">
    <mergeCell ref="A1:H2"/>
    <mergeCell ref="A4:H4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showGridLines="0" workbookViewId="0">
      <selection sqref="A1:F2"/>
    </sheetView>
  </sheetViews>
  <sheetFormatPr defaultRowHeight="13.8"/>
  <cols>
    <col min="1" max="1" width="22.5" customWidth="1"/>
    <col min="2" max="2" width="53.69921875" customWidth="1"/>
    <col min="3" max="3" width="15" customWidth="1"/>
    <col min="4" max="4" width="13.09765625" customWidth="1"/>
    <col min="5" max="5" width="28.69921875" customWidth="1"/>
    <col min="6" max="6" width="53.69921875" customWidth="1"/>
  </cols>
  <sheetData>
    <row r="1" spans="1:6" ht="43.5" customHeight="1">
      <c r="A1" s="154" t="s">
        <v>294</v>
      </c>
      <c r="B1" s="154" t="s">
        <v>294</v>
      </c>
      <c r="C1" s="154" t="s">
        <v>294</v>
      </c>
      <c r="D1" s="154" t="s">
        <v>294</v>
      </c>
      <c r="E1" s="154" t="s">
        <v>294</v>
      </c>
      <c r="F1" s="154" t="s">
        <v>294</v>
      </c>
    </row>
    <row r="2" spans="1:6" ht="43.5" customHeight="1">
      <c r="A2" s="154" t="s">
        <v>294</v>
      </c>
      <c r="B2" s="154" t="s">
        <v>294</v>
      </c>
      <c r="C2" s="154" t="s">
        <v>294</v>
      </c>
      <c r="D2" s="154" t="s">
        <v>294</v>
      </c>
      <c r="E2" s="154" t="s">
        <v>294</v>
      </c>
      <c r="F2" s="154" t="s">
        <v>294</v>
      </c>
    </row>
    <row r="4" spans="1:6">
      <c r="A4" s="155" t="s">
        <v>295</v>
      </c>
      <c r="B4" s="155" t="s">
        <v>295</v>
      </c>
      <c r="C4" s="155" t="s">
        <v>295</v>
      </c>
      <c r="D4" s="155" t="s">
        <v>295</v>
      </c>
      <c r="E4" s="155" t="s">
        <v>295</v>
      </c>
      <c r="F4" s="155" t="s">
        <v>295</v>
      </c>
    </row>
    <row r="5" spans="1:6">
      <c r="A5" s="34" t="s">
        <v>296</v>
      </c>
      <c r="B5" s="35" t="s">
        <v>297</v>
      </c>
      <c r="C5" s="35" t="s">
        <v>298</v>
      </c>
      <c r="D5" s="35" t="s">
        <v>299</v>
      </c>
      <c r="E5" s="35" t="s">
        <v>300</v>
      </c>
      <c r="F5" s="36" t="s">
        <v>61</v>
      </c>
    </row>
    <row r="6" spans="1:6">
      <c r="A6" s="19" t="s">
        <v>301</v>
      </c>
      <c r="B6" s="20" t="s">
        <v>302</v>
      </c>
      <c r="C6" s="20" t="s">
        <v>303</v>
      </c>
      <c r="D6" s="20" t="s">
        <v>304</v>
      </c>
      <c r="E6" s="20" t="s">
        <v>305</v>
      </c>
      <c r="F6" s="21" t="s">
        <v>306</v>
      </c>
    </row>
    <row r="7" spans="1:6">
      <c r="A7" s="22" t="s">
        <v>307</v>
      </c>
      <c r="B7" s="23" t="s">
        <v>308</v>
      </c>
      <c r="C7" s="23" t="s">
        <v>309</v>
      </c>
      <c r="D7" s="23" t="s">
        <v>304</v>
      </c>
      <c r="E7" s="23" t="s">
        <v>310</v>
      </c>
      <c r="F7" s="24" t="s">
        <v>311</v>
      </c>
    </row>
    <row r="8" spans="1:6">
      <c r="A8" s="22" t="s">
        <v>312</v>
      </c>
      <c r="B8" s="23" t="s">
        <v>313</v>
      </c>
      <c r="C8" s="23" t="s">
        <v>309</v>
      </c>
      <c r="D8" s="23" t="s">
        <v>304</v>
      </c>
      <c r="E8" s="23" t="s">
        <v>310</v>
      </c>
      <c r="F8" s="24" t="s">
        <v>314</v>
      </c>
    </row>
    <row r="9" spans="1:6">
      <c r="A9" s="22" t="s">
        <v>315</v>
      </c>
      <c r="B9" s="23" t="s">
        <v>316</v>
      </c>
      <c r="C9" s="23" t="s">
        <v>317</v>
      </c>
      <c r="D9" s="23" t="s">
        <v>304</v>
      </c>
      <c r="E9" s="23" t="s">
        <v>318</v>
      </c>
      <c r="F9" s="24" t="s">
        <v>319</v>
      </c>
    </row>
    <row r="10" spans="1:6">
      <c r="A10" s="22" t="s">
        <v>320</v>
      </c>
      <c r="B10" s="23" t="s">
        <v>321</v>
      </c>
      <c r="C10" s="23" t="s">
        <v>322</v>
      </c>
      <c r="D10" s="23" t="s">
        <v>304</v>
      </c>
      <c r="E10" s="23" t="s">
        <v>318</v>
      </c>
      <c r="F10" s="24" t="s">
        <v>323</v>
      </c>
    </row>
    <row r="11" spans="1:6">
      <c r="A11" s="25" t="s">
        <v>324</v>
      </c>
      <c r="B11" s="26" t="s">
        <v>325</v>
      </c>
      <c r="C11" s="26" t="s">
        <v>322</v>
      </c>
      <c r="D11" s="26" t="s">
        <v>304</v>
      </c>
      <c r="E11" s="26" t="s">
        <v>318</v>
      </c>
      <c r="F11" s="27" t="s">
        <v>326</v>
      </c>
    </row>
    <row r="13" spans="1:6">
      <c r="A13" s="157" t="s">
        <v>327</v>
      </c>
      <c r="B13" s="157"/>
      <c r="C13" s="157"/>
      <c r="D13" s="157"/>
      <c r="E13" s="157"/>
      <c r="F13" s="157"/>
    </row>
    <row r="14" spans="1:6">
      <c r="A14" s="145" t="s">
        <v>30</v>
      </c>
      <c r="B14" s="146" t="s">
        <v>328</v>
      </c>
      <c r="C14" s="146"/>
      <c r="D14" s="146"/>
      <c r="E14" s="146"/>
      <c r="F14" s="147"/>
    </row>
    <row r="15" spans="1:6">
      <c r="A15" s="148" t="s">
        <v>33</v>
      </c>
      <c r="B15" s="149" t="s">
        <v>329</v>
      </c>
      <c r="C15" s="149"/>
      <c r="D15" s="149"/>
      <c r="E15" s="149"/>
      <c r="F15" s="150"/>
    </row>
    <row r="16" spans="1:6">
      <c r="A16" s="148" t="s">
        <v>36</v>
      </c>
      <c r="B16" s="149" t="s">
        <v>330</v>
      </c>
      <c r="C16" s="149"/>
      <c r="D16" s="149"/>
      <c r="E16" s="149"/>
      <c r="F16" s="150"/>
    </row>
    <row r="17" spans="1:6">
      <c r="A17" s="151" t="s">
        <v>39</v>
      </c>
      <c r="B17" s="152" t="s">
        <v>331</v>
      </c>
      <c r="C17" s="152"/>
      <c r="D17" s="152"/>
      <c r="E17" s="152"/>
      <c r="F17" s="153"/>
    </row>
  </sheetData>
  <mergeCells count="3">
    <mergeCell ref="A1:F2"/>
    <mergeCell ref="A4:F4"/>
    <mergeCell ref="A13:F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Inputs</vt:lpstr>
      <vt:lpstr>Cost Builder</vt:lpstr>
      <vt:lpstr>Roadmap</vt:lpstr>
      <vt:lpstr>Scenario Matrix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ทศวรรษ อุบล</cp:lastModifiedBy>
  <dcterms:modified xsi:type="dcterms:W3CDTF">2026-05-25T16:45:50Z</dcterms:modified>
</cp:coreProperties>
</file>